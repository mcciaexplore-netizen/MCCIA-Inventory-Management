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850" activeTab="1"/>
  </bookViews>
  <sheets>
    <sheet name="Consumption " sheetId="1" r:id="rId1"/>
    <sheet name="Lotus " sheetId="4" r:id="rId2"/>
    <sheet name="Dhanlaxmi" sheetId="5" r:id="rId3"/>
    <sheet name="MODREN" sheetId="6" r:id="rId4"/>
  </sheets>
  <calcPr calcId="124519"/>
</workbook>
</file>

<file path=xl/calcChain.xml><?xml version="1.0" encoding="utf-8"?>
<calcChain xmlns="http://schemas.openxmlformats.org/spreadsheetml/2006/main">
  <c r="P11" i="4"/>
  <c r="P21"/>
  <c r="O50" i="6"/>
  <c r="O49"/>
  <c r="O53"/>
  <c r="O52"/>
  <c r="R67"/>
  <c r="L67"/>
  <c r="I67"/>
  <c r="I66"/>
  <c r="I64"/>
  <c r="R54"/>
  <c r="L54"/>
  <c r="I54"/>
  <c r="I53"/>
  <c r="I52"/>
  <c r="O27"/>
  <c r="O17"/>
  <c r="O10"/>
  <c r="O33"/>
  <c r="O9"/>
  <c r="O5"/>
  <c r="I12"/>
  <c r="I33"/>
  <c r="I10"/>
  <c r="I17"/>
  <c r="I15"/>
  <c r="I27"/>
  <c r="I9"/>
  <c r="I5"/>
  <c r="L72"/>
  <c r="L71"/>
  <c r="L70"/>
  <c r="L69"/>
  <c r="L68"/>
  <c r="L66"/>
  <c r="L65"/>
  <c r="L64"/>
  <c r="L63"/>
  <c r="L62"/>
  <c r="L61"/>
  <c r="L60"/>
  <c r="L59"/>
  <c r="L58"/>
  <c r="L57"/>
  <c r="L56"/>
  <c r="L55"/>
  <c r="L53"/>
  <c r="L52"/>
  <c r="L51"/>
  <c r="L50"/>
  <c r="L49"/>
  <c r="E72"/>
  <c r="E71"/>
  <c r="E70"/>
  <c r="E69"/>
  <c r="E68"/>
  <c r="E66"/>
  <c r="E65"/>
  <c r="E64"/>
  <c r="E63"/>
  <c r="E62"/>
  <c r="E61"/>
  <c r="E60"/>
  <c r="E59"/>
  <c r="E58"/>
  <c r="E57"/>
  <c r="E56"/>
  <c r="E55"/>
  <c r="E53"/>
  <c r="E52"/>
  <c r="E51"/>
  <c r="E50"/>
  <c r="E49"/>
  <c r="E73" s="1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2"/>
  <c r="L11"/>
  <c r="L10"/>
  <c r="L9"/>
  <c r="L8"/>
  <c r="L7"/>
  <c r="L6"/>
  <c r="L5"/>
  <c r="L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4"/>
  <c r="E12"/>
  <c r="E11"/>
  <c r="E10"/>
  <c r="E9"/>
  <c r="E8"/>
  <c r="E7"/>
  <c r="E6"/>
  <c r="E5"/>
  <c r="E4"/>
  <c r="R21"/>
  <c r="R39"/>
  <c r="M25" i="4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H18" i="5"/>
  <c r="H17"/>
  <c r="H16"/>
  <c r="H15"/>
  <c r="H14"/>
  <c r="H13"/>
  <c r="H12"/>
  <c r="H11"/>
  <c r="H10"/>
  <c r="H9"/>
  <c r="H8"/>
  <c r="H7"/>
  <c r="H6"/>
  <c r="H5"/>
  <c r="E18"/>
  <c r="E17"/>
  <c r="E16"/>
  <c r="E15"/>
  <c r="E14"/>
  <c r="E13"/>
  <c r="E12"/>
  <c r="E11"/>
  <c r="E10"/>
  <c r="E9"/>
  <c r="E8"/>
  <c r="E7"/>
  <c r="E6"/>
  <c r="E5"/>
  <c r="L44" i="6"/>
  <c r="R58"/>
  <c r="R40"/>
  <c r="R36"/>
  <c r="R8"/>
  <c r="R59"/>
  <c r="R16"/>
  <c r="R55"/>
  <c r="R63"/>
  <c r="R64"/>
  <c r="R9"/>
  <c r="R6"/>
  <c r="O44"/>
  <c r="K19" i="5"/>
  <c r="I44" i="6"/>
  <c r="R7"/>
  <c r="R52"/>
  <c r="I73"/>
  <c r="R30"/>
  <c r="R72"/>
  <c r="R71"/>
  <c r="R70"/>
  <c r="R15"/>
  <c r="R72" i="1"/>
  <c r="R10" i="6"/>
  <c r="R34"/>
  <c r="R42"/>
  <c r="E72" i="1"/>
  <c r="F72"/>
  <c r="G72"/>
  <c r="H72"/>
  <c r="I72"/>
  <c r="J72"/>
  <c r="K72"/>
  <c r="L72"/>
  <c r="M72"/>
  <c r="N72"/>
  <c r="O72"/>
  <c r="P72"/>
  <c r="Q72"/>
  <c r="S72"/>
  <c r="T72"/>
  <c r="U72"/>
  <c r="V72"/>
  <c r="W72"/>
  <c r="X72"/>
  <c r="Y72"/>
  <c r="Z72"/>
  <c r="AA72"/>
  <c r="AB72"/>
  <c r="AC72"/>
  <c r="AD72"/>
  <c r="AE72"/>
  <c r="AF72"/>
  <c r="AG72"/>
  <c r="AH72"/>
  <c r="AI72"/>
  <c r="AJ72"/>
  <c r="AK72"/>
  <c r="AL72"/>
  <c r="AM72"/>
  <c r="AN72"/>
  <c r="AO72"/>
  <c r="AP72"/>
  <c r="AQ72"/>
  <c r="AR72"/>
  <c r="AS72"/>
  <c r="AT72"/>
  <c r="AU72"/>
  <c r="AV72"/>
  <c r="AW72"/>
  <c r="AX72"/>
  <c r="AY72"/>
  <c r="AZ72"/>
  <c r="BA72"/>
  <c r="BB72"/>
  <c r="BC72"/>
  <c r="BD72"/>
  <c r="BE72"/>
  <c r="BF72"/>
  <c r="BG72"/>
  <c r="BH72"/>
  <c r="BI72"/>
  <c r="BJ72"/>
  <c r="BK72"/>
  <c r="BL72"/>
  <c r="BM72"/>
  <c r="BN72"/>
  <c r="BO72"/>
  <c r="BP72"/>
  <c r="BQ72"/>
  <c r="BR72"/>
  <c r="BS72"/>
  <c r="BT72"/>
  <c r="BU72"/>
  <c r="BV72"/>
  <c r="BW72"/>
  <c r="BX72"/>
  <c r="BY72"/>
  <c r="BZ72"/>
  <c r="CA72"/>
  <c r="CB72"/>
  <c r="CC72"/>
  <c r="CD72"/>
  <c r="CE72"/>
  <c r="CF72"/>
  <c r="CG72"/>
  <c r="CH72"/>
  <c r="CI72"/>
  <c r="CJ72"/>
  <c r="CK72"/>
  <c r="D72"/>
  <c r="R12" i="6"/>
  <c r="R41"/>
  <c r="R38"/>
  <c r="R37"/>
  <c r="R26"/>
  <c r="R25"/>
  <c r="R31"/>
  <c r="R61"/>
  <c r="R50"/>
  <c r="R51"/>
  <c r="R56"/>
  <c r="R57"/>
  <c r="R60"/>
  <c r="R62"/>
  <c r="R65"/>
  <c r="R66"/>
  <c r="R68"/>
  <c r="R53"/>
  <c r="R69"/>
  <c r="R49"/>
  <c r="R14"/>
  <c r="R11"/>
  <c r="R43"/>
  <c r="R33"/>
  <c r="R32"/>
  <c r="L73" l="1"/>
  <c r="O73"/>
  <c r="R73"/>
  <c r="F26" i="4"/>
  <c r="E44" i="6"/>
  <c r="R35" l="1"/>
  <c r="R29"/>
  <c r="R19"/>
  <c r="R28"/>
  <c r="R27"/>
  <c r="R24"/>
  <c r="R5" l="1"/>
  <c r="R23"/>
  <c r="R22"/>
  <c r="R20"/>
  <c r="R18"/>
  <c r="R17"/>
  <c r="R4"/>
  <c r="R44" l="1"/>
  <c r="M26" i="4"/>
  <c r="E19" i="5"/>
  <c r="H19"/>
  <c r="N18"/>
  <c r="N17"/>
  <c r="N16" l="1"/>
  <c r="N11"/>
  <c r="N12"/>
  <c r="P26" i="4" l="1"/>
  <c r="N5" i="5" l="1"/>
  <c r="N6"/>
  <c r="N7"/>
  <c r="N8"/>
  <c r="N9"/>
  <c r="S25" i="4"/>
  <c r="S24"/>
  <c r="S23"/>
  <c r="S22"/>
  <c r="S21"/>
  <c r="S20"/>
  <c r="S19"/>
  <c r="S18"/>
  <c r="S17"/>
  <c r="S16"/>
  <c r="S15"/>
  <c r="S14"/>
  <c r="S13"/>
  <c r="S12"/>
  <c r="S11"/>
  <c r="S26" s="1"/>
  <c r="S10"/>
  <c r="S9"/>
  <c r="S8"/>
  <c r="S7"/>
  <c r="S6"/>
  <c r="S5"/>
  <c r="S4"/>
  <c r="N15" i="5"/>
  <c r="N14"/>
  <c r="N13"/>
  <c r="N10"/>
  <c r="N19" l="1"/>
</calcChain>
</file>

<file path=xl/sharedStrings.xml><?xml version="1.0" encoding="utf-8"?>
<sst xmlns="http://schemas.openxmlformats.org/spreadsheetml/2006/main" count="520" uniqueCount="273">
  <si>
    <t>Erazer</t>
  </si>
  <si>
    <t>Stamp Pad Big</t>
  </si>
  <si>
    <t>Stamp Pad Small</t>
  </si>
  <si>
    <t>Lexi Pen Green</t>
  </si>
  <si>
    <t>Correction Pen</t>
  </si>
  <si>
    <t>Dori Bundle</t>
  </si>
  <si>
    <t>Photo Paper Pkt 180 GSM</t>
  </si>
  <si>
    <t>Damper</t>
  </si>
  <si>
    <t>Ribbon Roll</t>
  </si>
  <si>
    <t>Date</t>
  </si>
  <si>
    <t xml:space="preserve">Person Name </t>
  </si>
  <si>
    <t>Event &amp; Programs</t>
  </si>
  <si>
    <t xml:space="preserve">  </t>
  </si>
  <si>
    <t xml:space="preserve">Perchase </t>
  </si>
  <si>
    <t xml:space="preserve">Total </t>
  </si>
  <si>
    <t xml:space="preserve">DESCRIPTION </t>
  </si>
  <si>
    <t>Qty</t>
  </si>
  <si>
    <t>Rate (Rs.)</t>
  </si>
  <si>
    <t>Amt. (Rs.)</t>
  </si>
  <si>
    <t xml:space="preserve">CHALLAN NO </t>
  </si>
  <si>
    <t xml:space="preserve"> C D Marker (OHP)</t>
  </si>
  <si>
    <t>19 mm Binder Clip</t>
  </si>
  <si>
    <t>25 mm Binder Clip</t>
  </si>
  <si>
    <t>32 mm Binder Clip</t>
  </si>
  <si>
    <t>41mm Binder Clip</t>
  </si>
  <si>
    <t>A4 Sticker Lable Pkt</t>
  </si>
  <si>
    <t>A4 Sticker Plain Pkt</t>
  </si>
  <si>
    <t xml:space="preserve">Box file </t>
  </si>
  <si>
    <t>C D R/W</t>
  </si>
  <si>
    <t>Carbon Box</t>
  </si>
  <si>
    <t>Card Sheet</t>
  </si>
  <si>
    <t>Cello Tape 1"</t>
  </si>
  <si>
    <t>Cello TAPE 2"</t>
  </si>
  <si>
    <t>Cello Tape Brown</t>
  </si>
  <si>
    <t>Cutter Big</t>
  </si>
  <si>
    <t>Cutter Small</t>
  </si>
  <si>
    <t>Canvaz File.</t>
  </si>
  <si>
    <t>D V D 4.7 Gb</t>
  </si>
  <si>
    <t>Dater</t>
  </si>
  <si>
    <t>Flat-Spring File</t>
  </si>
  <si>
    <t>Glue Stick 15gm Big</t>
  </si>
  <si>
    <t>Gum (Dink) Bottle 700 ml</t>
  </si>
  <si>
    <t>High Lighter Green</t>
  </si>
  <si>
    <t>high Lighter Colour</t>
  </si>
  <si>
    <t>Ledger Rim</t>
  </si>
  <si>
    <t>Lexi Pen Blue</t>
  </si>
  <si>
    <t>Lexi Pen Black</t>
  </si>
  <si>
    <t>Nme Plate Holder</t>
  </si>
  <si>
    <t>Note Pad No2 Vedant</t>
  </si>
  <si>
    <t>Note Pad No4</t>
  </si>
  <si>
    <t>Outward Registered</t>
  </si>
  <si>
    <t>Patti Plastic Folder</t>
  </si>
  <si>
    <t>Pencil</t>
  </si>
  <si>
    <t>Pencil shapner</t>
  </si>
  <si>
    <t>Peramnant Marker</t>
  </si>
  <si>
    <t xml:space="preserve">Plastic Folder </t>
  </si>
  <si>
    <t>Punch Folder A 4</t>
  </si>
  <si>
    <t>Punch Folder F Tpe F/S</t>
  </si>
  <si>
    <t>Punching Machine small</t>
  </si>
  <si>
    <t xml:space="preserve">Push Pin Box </t>
  </si>
  <si>
    <t>Register Big 3Q</t>
  </si>
  <si>
    <t>Register Small 3Q</t>
  </si>
  <si>
    <t>Scissor Big</t>
  </si>
  <si>
    <t>Scissor Medium</t>
  </si>
  <si>
    <t>Seperator Colour</t>
  </si>
  <si>
    <t>Spiral Scribling Pad No 6 Vedant</t>
  </si>
  <si>
    <t>Stamp Pad Ink(Blue)</t>
  </si>
  <si>
    <t>Steel Rubber Scale</t>
  </si>
  <si>
    <t>Stepler Pin 23*17</t>
  </si>
  <si>
    <t>stepler pin 24*6</t>
  </si>
  <si>
    <t>Stepler Pin Small Pkt.</t>
  </si>
  <si>
    <t>U -Clip  Box 26 mm</t>
  </si>
  <si>
    <t>U- Clip Box 35 mm</t>
  </si>
  <si>
    <t>White Board Duster</t>
  </si>
  <si>
    <t>White Board Markar</t>
  </si>
  <si>
    <t>UNI Ball Pen</t>
  </si>
  <si>
    <t xml:space="preserve">F S Paper Ream </t>
  </si>
  <si>
    <t>Minutes Book Pkt</t>
  </si>
  <si>
    <t>Simple Pen A</t>
  </si>
  <si>
    <t>Unit</t>
  </si>
  <si>
    <t>Nos</t>
  </si>
  <si>
    <t>Box</t>
  </si>
  <si>
    <t>Piece</t>
  </si>
  <si>
    <t>Closing  Stock</t>
  </si>
  <si>
    <t>Opening Stock</t>
  </si>
  <si>
    <t>Stick on 3*4 (Yellow)</t>
  </si>
  <si>
    <t>Stick on 3*4 (Colour)</t>
  </si>
  <si>
    <t>Sr.No</t>
  </si>
  <si>
    <t>Stick on 3*3 (Yellow)</t>
  </si>
  <si>
    <t xml:space="preserve">Paper Ream </t>
  </si>
  <si>
    <t>Vsitor Regi</t>
  </si>
  <si>
    <t>Stapler  Big</t>
  </si>
  <si>
    <t xml:space="preserve">Stapler Small </t>
  </si>
  <si>
    <t xml:space="preserve"> Issue Stock</t>
  </si>
  <si>
    <t xml:space="preserve">Simple Pen </t>
  </si>
  <si>
    <t xml:space="preserve">Note Grip </t>
  </si>
  <si>
    <t>MCCIA Note Pad</t>
  </si>
  <si>
    <t>Paper Ream</t>
  </si>
  <si>
    <t xml:space="preserve">Exam Pad </t>
  </si>
  <si>
    <t>Rubber Band</t>
  </si>
  <si>
    <t>A 4 Sticker Paper</t>
  </si>
  <si>
    <t>Garbage Bag 19*21</t>
  </si>
  <si>
    <t xml:space="preserve">Visiting Card Holder </t>
  </si>
  <si>
    <t xml:space="preserve">Room Freshner </t>
  </si>
  <si>
    <t>Lexi Black</t>
  </si>
  <si>
    <t>Plastic Folder</t>
  </si>
  <si>
    <t>Micro Fiber Duster</t>
  </si>
  <si>
    <t>Note Grip</t>
  </si>
  <si>
    <t>Visiting Card Holder</t>
  </si>
  <si>
    <t>Permanent Marker</t>
  </si>
  <si>
    <t>F/S Paper Ream</t>
  </si>
  <si>
    <t>PKT</t>
  </si>
  <si>
    <t>Monthly Planner</t>
  </si>
  <si>
    <t xml:space="preserve">Bond Paper Ream </t>
  </si>
  <si>
    <t>Room freshner</t>
  </si>
  <si>
    <t xml:space="preserve">  V </t>
  </si>
  <si>
    <t>Glue Stick</t>
  </si>
  <si>
    <t>Calculater- C T 555</t>
  </si>
  <si>
    <t>Stick On Yellow 3*3</t>
  </si>
  <si>
    <t>Stick On Yellow 3*5</t>
  </si>
  <si>
    <t>Highlighter</t>
  </si>
  <si>
    <t>White Board Cleaning</t>
  </si>
  <si>
    <t>02.12.24</t>
  </si>
  <si>
    <t>Santosh</t>
  </si>
  <si>
    <t>White Board  Cleaner</t>
  </si>
  <si>
    <t>Chisel Marker</t>
  </si>
  <si>
    <t>Chisel Markar</t>
  </si>
  <si>
    <t>Water Colore</t>
  </si>
  <si>
    <t>Resister small 3Q</t>
  </si>
  <si>
    <t>Not Pad  No. 4</t>
  </si>
  <si>
    <t>Cello Tape 1'</t>
  </si>
  <si>
    <t>Total</t>
  </si>
  <si>
    <t>Lexi Blue</t>
  </si>
  <si>
    <t>Lexi Green</t>
  </si>
  <si>
    <t xml:space="preserve">Tissue Paper </t>
  </si>
  <si>
    <t>Toilet Roll</t>
  </si>
  <si>
    <t xml:space="preserve">Nos </t>
  </si>
  <si>
    <t>Box File</t>
  </si>
  <si>
    <t>TOTAL</t>
  </si>
  <si>
    <t>Push Pin</t>
  </si>
  <si>
    <t xml:space="preserve">Paper Ream A3 </t>
  </si>
  <si>
    <t>Photo Paper</t>
  </si>
  <si>
    <t>Gum Bottle</t>
  </si>
  <si>
    <t>5Ltr</t>
  </si>
  <si>
    <t>Wiper 18 '' Set</t>
  </si>
  <si>
    <t>Wet Mop Set Big</t>
  </si>
  <si>
    <t>Phenyl Green Sunny</t>
  </si>
  <si>
    <t>White Board Marker</t>
  </si>
  <si>
    <t xml:space="preserve">Color Paper </t>
  </si>
  <si>
    <t>Stapler Pin Box Small</t>
  </si>
  <si>
    <t>CD Markar</t>
  </si>
  <si>
    <t xml:space="preserve">Natraj Pen </t>
  </si>
  <si>
    <t>Flat File</t>
  </si>
  <si>
    <t>Chock Pump</t>
  </si>
  <si>
    <t>Taski R7 Liquid 5 Ltr.</t>
  </si>
  <si>
    <t>Taski R6 Liquid 5 Ltr.</t>
  </si>
  <si>
    <t>Sanitary Cubes Toilet Goli</t>
  </si>
  <si>
    <t>Nylon Plastic Roll</t>
  </si>
  <si>
    <t>PCS</t>
  </si>
  <si>
    <t>Can</t>
  </si>
  <si>
    <t>Pkt</t>
  </si>
  <si>
    <t>KGS</t>
  </si>
  <si>
    <t>Garbage Bag Green 29*39 Heavy</t>
  </si>
  <si>
    <t>A-3 Ream</t>
  </si>
  <si>
    <t xml:space="preserve">Hand Wash </t>
  </si>
  <si>
    <t>Cello Tape 2'</t>
  </si>
  <si>
    <t>Brown Cello Tape 2'</t>
  </si>
  <si>
    <t>Stamp Pad Ink Blue 100ML</t>
  </si>
  <si>
    <t>Sketch Pen</t>
  </si>
  <si>
    <t>Photopaper</t>
  </si>
  <si>
    <t>Simple Pen</t>
  </si>
  <si>
    <t>File Seppretor</t>
  </si>
  <si>
    <t>Stapler  Small</t>
  </si>
  <si>
    <t>Soft Broom A - 1</t>
  </si>
  <si>
    <t>Pcs</t>
  </si>
  <si>
    <t xml:space="preserve">Odonil Toilet Air Freshener </t>
  </si>
  <si>
    <t xml:space="preserve">Fether Brush Big </t>
  </si>
  <si>
    <t>W B Marker</t>
  </si>
  <si>
    <t>Rubber Band 4 Inch</t>
  </si>
  <si>
    <t xml:space="preserve">Calculator </t>
  </si>
  <si>
    <t>Box file</t>
  </si>
  <si>
    <t>MCCIA Pad</t>
  </si>
  <si>
    <t xml:space="preserve">Cutter Big </t>
  </si>
  <si>
    <t xml:space="preserve">Cutter Small </t>
  </si>
  <si>
    <t>CD Marker</t>
  </si>
  <si>
    <t>Steel  Scale</t>
  </si>
  <si>
    <t>Stepler Pin Small</t>
  </si>
  <si>
    <t>Taski R2 Liquid 5 Ltr.</t>
  </si>
  <si>
    <t>Floor Cleaner 5 Ltr.</t>
  </si>
  <si>
    <t>Register Attendence 3Q</t>
  </si>
  <si>
    <t xml:space="preserve">Colin 500 Ml. </t>
  </si>
  <si>
    <t>Chat Paper</t>
  </si>
  <si>
    <t>U-Clip 26mm</t>
  </si>
  <si>
    <t>Stick on color 3*3</t>
  </si>
  <si>
    <t>Dry Mop Blue 24 Inch set</t>
  </si>
  <si>
    <t>Sonal</t>
  </si>
  <si>
    <t>FT Course</t>
  </si>
  <si>
    <t>Ganesh</t>
  </si>
  <si>
    <t>Xerox</t>
  </si>
  <si>
    <t>Saurav</t>
  </si>
  <si>
    <t>Abha</t>
  </si>
  <si>
    <t>Sandhya</t>
  </si>
  <si>
    <t>CBP</t>
  </si>
  <si>
    <t>Project Mangt.</t>
  </si>
  <si>
    <t>Shriram</t>
  </si>
  <si>
    <t>Sketch Pen Pkt.</t>
  </si>
  <si>
    <t>Dispatch</t>
  </si>
  <si>
    <t>Varsha</t>
  </si>
  <si>
    <t>Satvisha</t>
  </si>
  <si>
    <t>Sunil</t>
  </si>
  <si>
    <t>Outword Register 6Q</t>
  </si>
  <si>
    <t>Flat file</t>
  </si>
  <si>
    <t>Sketch pen Pkt.</t>
  </si>
  <si>
    <t>Glue stick</t>
  </si>
  <si>
    <t>Reg. small</t>
  </si>
  <si>
    <t>File Seperator</t>
  </si>
  <si>
    <t>SEPTEMBER -2026</t>
  </si>
  <si>
    <t>SEPTEMBER STATIONERY - 2026</t>
  </si>
  <si>
    <t>SEPTEMBER HOUSE KEEPING - 2026</t>
  </si>
  <si>
    <t xml:space="preserve">MCCIA.S.B.Road Stationary Consumption SEPTEMBER - 2026                </t>
  </si>
  <si>
    <t>01.09.26</t>
  </si>
  <si>
    <t>02.09.26</t>
  </si>
  <si>
    <t>03.09.26</t>
  </si>
  <si>
    <t>Hall- 7</t>
  </si>
  <si>
    <t>Hall- 2</t>
  </si>
  <si>
    <t>Sweta</t>
  </si>
  <si>
    <t>04.09.26</t>
  </si>
  <si>
    <t>Kabadi</t>
  </si>
  <si>
    <t>Aarush</t>
  </si>
  <si>
    <t>05.09.26</t>
  </si>
  <si>
    <t>Kirti</t>
  </si>
  <si>
    <t>MDP Session</t>
  </si>
  <si>
    <t>07.09.26</t>
  </si>
  <si>
    <t>A-Wing Security</t>
  </si>
  <si>
    <t>Kopardekar</t>
  </si>
  <si>
    <t>08.09.26</t>
  </si>
  <si>
    <t>AGM 2025-26</t>
  </si>
  <si>
    <t>Satish</t>
  </si>
  <si>
    <t>Safety Comm.</t>
  </si>
  <si>
    <t>09.09.26</t>
  </si>
  <si>
    <t>Abhishek</t>
  </si>
  <si>
    <t>10.09.26</t>
  </si>
  <si>
    <t>Arush</t>
  </si>
  <si>
    <t>11.09.26</t>
  </si>
  <si>
    <t>Hadapsar Office</t>
  </si>
  <si>
    <t>12.09.26</t>
  </si>
  <si>
    <t>16.09.26</t>
  </si>
  <si>
    <t>Shrotri</t>
  </si>
  <si>
    <t>17.09.26</t>
  </si>
  <si>
    <t>Shantanu</t>
  </si>
  <si>
    <t>18.09.26</t>
  </si>
  <si>
    <t>Rajnikant</t>
  </si>
  <si>
    <t>19.09.26</t>
  </si>
  <si>
    <t>Parikshit</t>
  </si>
  <si>
    <t>22.09.26</t>
  </si>
  <si>
    <t>23.09.26</t>
  </si>
  <si>
    <t>Bandre</t>
  </si>
  <si>
    <t>A-4 Sticher</t>
  </si>
  <si>
    <t>Note Pad-4</t>
  </si>
  <si>
    <t>Outword Reg.</t>
  </si>
  <si>
    <t>Canvaz File</t>
  </si>
  <si>
    <t>28.09.26</t>
  </si>
  <si>
    <t>Varsha/ Shriram</t>
  </si>
  <si>
    <t xml:space="preserve"> For CBP Cert.</t>
  </si>
  <si>
    <t>29.09.26</t>
  </si>
  <si>
    <t>Shaunak</t>
  </si>
  <si>
    <t>For Sampada Record Work</t>
  </si>
  <si>
    <t>Steel Scale</t>
  </si>
  <si>
    <t>30.09.26</t>
  </si>
  <si>
    <t>Tilak Rd. Office</t>
  </si>
  <si>
    <t xml:space="preserve"> Visitor Register 3Q</t>
  </si>
  <si>
    <t>Carpet Brush Woodan</t>
  </si>
  <si>
    <t>Taski Spiral F11YLiquid 5 Ltr.</t>
  </si>
</sst>
</file>

<file path=xl/styles.xml><?xml version="1.0" encoding="utf-8"?>
<styleSheet xmlns="http://schemas.openxmlformats.org/spreadsheetml/2006/main">
  <numFmts count="3">
    <numFmt numFmtId="164" formatCode="[$-409]d\-mmm\-yy;@"/>
    <numFmt numFmtId="165" formatCode="0.0"/>
    <numFmt numFmtId="166" formatCode="[$-409]mmmm\-yy;@"/>
  </numFmts>
  <fonts count="28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rgb="FFFF0000"/>
      <name val="Arial Black"/>
      <family val="2"/>
    </font>
    <font>
      <sz val="9"/>
      <color theme="1"/>
      <name val="Calibri"/>
      <family val="2"/>
      <scheme val="minor"/>
    </font>
    <font>
      <sz val="20"/>
      <color rgb="FFFF0000"/>
      <name val="Arial Black"/>
      <family val="2"/>
    </font>
    <font>
      <b/>
      <sz val="11"/>
      <color theme="1"/>
      <name val="Arial Black"/>
      <family val="2"/>
    </font>
    <font>
      <sz val="11"/>
      <name val="Arial Black"/>
      <family val="2"/>
    </font>
    <font>
      <b/>
      <sz val="12"/>
      <name val="Arial Black"/>
      <family val="2"/>
    </font>
    <font>
      <b/>
      <sz val="12"/>
      <color theme="1"/>
      <name val="Arial Black"/>
      <family val="2"/>
    </font>
    <font>
      <sz val="22"/>
      <color rgb="FFFF0000"/>
      <name val="Arial Black"/>
      <family val="2"/>
    </font>
    <font>
      <sz val="11"/>
      <color rgb="FF00B050"/>
      <name val="Arial Black"/>
      <family val="2"/>
    </font>
    <font>
      <b/>
      <sz val="12"/>
      <name val="Calibri"/>
      <family val="2"/>
      <scheme val="minor"/>
    </font>
    <font>
      <sz val="11"/>
      <color rgb="FF00B0F0"/>
      <name val="Arial Black"/>
      <family val="2"/>
    </font>
    <font>
      <sz val="11"/>
      <color rgb="FF00B0F0"/>
      <name val="Calibri"/>
      <family val="2"/>
      <scheme val="minor"/>
    </font>
    <font>
      <sz val="28"/>
      <color rgb="FFFF0000"/>
      <name val="Arial Black"/>
      <family val="2"/>
    </font>
    <font>
      <sz val="10"/>
      <color theme="1"/>
      <name val="Arial Black"/>
      <family val="2"/>
    </font>
    <font>
      <sz val="11"/>
      <name val="Calibri"/>
      <family val="2"/>
      <scheme val="minor"/>
    </font>
    <font>
      <sz val="12"/>
      <color theme="1"/>
      <name val="Arial Black"/>
      <family val="2"/>
    </font>
    <font>
      <b/>
      <sz val="11"/>
      <name val="Arial Black"/>
      <family val="2"/>
    </font>
    <font>
      <sz val="12"/>
      <color rgb="FFFF0000"/>
      <name val="Arial Black"/>
      <family val="2"/>
    </font>
    <font>
      <sz val="12"/>
      <color rgb="FF00B050"/>
      <name val="Arial Black"/>
      <family val="2"/>
    </font>
    <font>
      <sz val="12"/>
      <name val="Arial Black"/>
      <family val="2"/>
    </font>
    <font>
      <sz val="12"/>
      <color rgb="FF00B0F0"/>
      <name val="Arial Black"/>
      <family val="2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  <font>
      <sz val="18"/>
      <color rgb="FFFF0000"/>
      <name val="Arial Black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wrapText="1"/>
    </xf>
    <xf numFmtId="2" fontId="6" fillId="0" borderId="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2" fontId="0" fillId="0" borderId="0" xfId="0" applyNumberFormat="1"/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7" fontId="9" fillId="0" borderId="0" xfId="0" applyNumberFormat="1" applyFont="1" applyBorder="1" applyAlignment="1">
      <alignment vertical="center"/>
    </xf>
    <xf numFmtId="164" fontId="14" fillId="0" borderId="0" xfId="0" applyNumberFormat="1" applyFont="1" applyAlignment="1"/>
    <xf numFmtId="0" fontId="1" fillId="0" borderId="3" xfId="0" applyFont="1" applyBorder="1" applyAlignment="1">
      <alignment horizontal="center"/>
    </xf>
    <xf numFmtId="0" fontId="0" fillId="0" borderId="3" xfId="0" applyBorder="1"/>
    <xf numFmtId="0" fontId="1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 wrapText="1"/>
    </xf>
    <xf numFmtId="2" fontId="1" fillId="0" borderId="0" xfId="0" applyNumberFormat="1" applyFont="1"/>
    <xf numFmtId="0" fontId="1" fillId="0" borderId="0" xfId="0" applyFont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1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/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2" fontId="6" fillId="0" borderId="0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0" xfId="0" applyFont="1" applyBorder="1"/>
    <xf numFmtId="0" fontId="1" fillId="0" borderId="0" xfId="0" applyFont="1" applyFill="1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0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6" fillId="0" borderId="0" xfId="0" applyFont="1"/>
    <xf numFmtId="0" fontId="6" fillId="0" borderId="0" xfId="0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/>
    <xf numFmtId="0" fontId="19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17" fontId="22" fillId="0" borderId="1" xfId="0" applyNumberFormat="1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24" fillId="0" borderId="1" xfId="0" applyFont="1" applyBorder="1"/>
    <xf numFmtId="0" fontId="25" fillId="0" borderId="1" xfId="0" applyFont="1" applyBorder="1"/>
    <xf numFmtId="2" fontId="22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2" fontId="17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/>
    <xf numFmtId="0" fontId="10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2" fillId="0" borderId="0" xfId="0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1" fillId="0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165" fontId="19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6" fontId="14" fillId="0" borderId="1" xfId="0" quotePrefix="1" applyNumberFormat="1" applyFont="1" applyBorder="1" applyAlignment="1">
      <alignment horizontal="center"/>
    </xf>
    <xf numFmtId="0" fontId="17" fillId="0" borderId="3" xfId="0" applyFont="1" applyBorder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49" fontId="14" fillId="0" borderId="3" xfId="0" applyNumberFormat="1" applyFont="1" applyBorder="1" applyAlignment="1">
      <alignment horizontal="center"/>
    </xf>
    <xf numFmtId="49" fontId="14" fillId="0" borderId="4" xfId="0" quotePrefix="1" applyNumberFormat="1" applyFont="1" applyBorder="1" applyAlignment="1">
      <alignment horizontal="center"/>
    </xf>
    <xf numFmtId="49" fontId="14" fillId="0" borderId="5" xfId="0" quotePrefix="1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49" fontId="14" fillId="0" borderId="8" xfId="0" applyNumberFormat="1" applyFont="1" applyBorder="1" applyAlignment="1">
      <alignment horizontal="center"/>
    </xf>
    <xf numFmtId="49" fontId="14" fillId="0" borderId="1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Y134"/>
  <sheetViews>
    <sheetView zoomScaleSheetLayoutView="100" workbookViewId="0">
      <pane ySplit="2" topLeftCell="A3" activePane="bottomLeft" state="frozen"/>
      <selection activeCell="BE2" sqref="BE2"/>
      <selection pane="bottomLeft" activeCell="E24" sqref="E24"/>
    </sheetView>
  </sheetViews>
  <sheetFormatPr defaultRowHeight="15"/>
  <cols>
    <col min="1" max="1" width="17" customWidth="1"/>
    <col min="2" max="2" width="19.5703125" style="38" customWidth="1"/>
    <col min="3" max="3" width="17.85546875" style="38" customWidth="1"/>
    <col min="4" max="4" width="17" customWidth="1"/>
    <col min="5" max="5" width="15.140625" customWidth="1"/>
    <col min="6" max="6" width="17.28515625" customWidth="1"/>
    <col min="7" max="7" width="16" customWidth="1"/>
    <col min="8" max="8" width="17.42578125" customWidth="1"/>
    <col min="9" max="9" width="15.140625" customWidth="1"/>
    <col min="10" max="10" width="16.42578125" customWidth="1"/>
    <col min="13" max="13" width="15.140625" customWidth="1"/>
    <col min="16" max="16" width="18.140625" customWidth="1"/>
    <col min="17" max="17" width="13.28515625" customWidth="1"/>
    <col min="18" max="18" width="13.5703125" customWidth="1"/>
    <col min="19" max="19" width="14.7109375" customWidth="1"/>
    <col min="22" max="22" width="17.5703125" customWidth="1"/>
    <col min="23" max="24" width="12" customWidth="1"/>
    <col min="25" max="25" width="10.5703125" customWidth="1"/>
    <col min="26" max="26" width="16" customWidth="1"/>
    <col min="27" max="27" width="11.28515625" customWidth="1"/>
    <col min="28" max="28" width="15.28515625" customWidth="1"/>
    <col min="29" max="29" width="16.5703125" customWidth="1"/>
    <col min="30" max="31" width="17.7109375" customWidth="1"/>
    <col min="32" max="32" width="17.85546875" customWidth="1"/>
    <col min="33" max="33" width="16.28515625" customWidth="1"/>
    <col min="34" max="34" width="14.42578125" customWidth="1"/>
    <col min="35" max="35" width="15.42578125" customWidth="1"/>
    <col min="36" max="36" width="14.28515625" customWidth="1"/>
    <col min="37" max="37" width="15.140625" customWidth="1"/>
    <col min="38" max="38" width="19.28515625" customWidth="1"/>
    <col min="39" max="39" width="13.85546875" customWidth="1"/>
    <col min="40" max="40" width="16" customWidth="1"/>
    <col min="41" max="41" width="17" customWidth="1"/>
    <col min="42" max="42" width="14.140625" customWidth="1"/>
    <col min="43" max="43" width="11.5703125" customWidth="1"/>
    <col min="44" max="44" width="15.85546875" customWidth="1"/>
    <col min="45" max="45" width="12.42578125" customWidth="1"/>
    <col min="46" max="46" width="19.28515625" customWidth="1"/>
    <col min="47" max="47" width="17.5703125" customWidth="1"/>
    <col min="48" max="48" width="18.85546875" customWidth="1"/>
    <col min="50" max="50" width="19" customWidth="1"/>
    <col min="51" max="51" width="19.28515625" customWidth="1"/>
    <col min="52" max="52" width="19.140625" customWidth="1"/>
    <col min="53" max="53" width="12.42578125" customWidth="1"/>
    <col min="54" max="54" width="13.42578125" customWidth="1"/>
    <col min="55" max="55" width="13.5703125" customWidth="1"/>
    <col min="57" max="57" width="10.85546875" customWidth="1"/>
    <col min="58" max="58" width="12" customWidth="1"/>
    <col min="59" max="59" width="14.140625" customWidth="1"/>
    <col min="60" max="60" width="18.85546875" hidden="1" customWidth="1"/>
    <col min="61" max="61" width="15.5703125" customWidth="1"/>
    <col min="62" max="62" width="23.42578125" customWidth="1"/>
    <col min="63" max="63" width="14.42578125" customWidth="1"/>
    <col min="64" max="64" width="15.28515625" customWidth="1"/>
    <col min="65" max="65" width="16.85546875" customWidth="1"/>
    <col min="66" max="66" width="16.5703125" customWidth="1"/>
    <col min="67" max="67" width="15.28515625" customWidth="1"/>
    <col min="68" max="68" width="14.85546875" customWidth="1"/>
    <col min="69" max="69" width="16.7109375" customWidth="1"/>
    <col min="70" max="70" width="16.42578125" customWidth="1"/>
    <col min="71" max="71" width="15.42578125" customWidth="1"/>
    <col min="72" max="72" width="18.42578125" customWidth="1"/>
    <col min="73" max="73" width="15.85546875" customWidth="1"/>
    <col min="74" max="74" width="17.140625" customWidth="1"/>
    <col min="75" max="75" width="17.28515625" customWidth="1"/>
    <col min="76" max="76" width="18.28515625" customWidth="1"/>
    <col min="77" max="77" width="11.140625" customWidth="1"/>
    <col min="78" max="78" width="17.42578125" customWidth="1"/>
    <col min="79" max="80" width="11.5703125" customWidth="1"/>
    <col min="81" max="81" width="12.140625" customWidth="1"/>
    <col min="82" max="82" width="14.85546875" customWidth="1"/>
    <col min="83" max="83" width="14.28515625" customWidth="1"/>
    <col min="85" max="85" width="12.7109375" customWidth="1"/>
    <col min="86" max="86" width="11.85546875" customWidth="1"/>
    <col min="88" max="88" width="13.85546875" customWidth="1"/>
    <col min="89" max="89" width="12.28515625" customWidth="1"/>
    <col min="109" max="109" width="11.5703125" customWidth="1"/>
  </cols>
  <sheetData>
    <row r="1" spans="1:129" ht="31.5">
      <c r="A1" s="140" t="s">
        <v>219</v>
      </c>
      <c r="B1" s="141"/>
      <c r="C1" s="141"/>
      <c r="D1" s="141"/>
      <c r="E1" s="141"/>
      <c r="F1" s="141"/>
      <c r="G1" s="141"/>
      <c r="H1" s="141"/>
      <c r="I1" s="141"/>
      <c r="J1" s="141"/>
      <c r="K1" s="14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5"/>
      <c r="CF1" s="3"/>
      <c r="CG1" s="3"/>
      <c r="CH1" s="3"/>
      <c r="CI1" s="3"/>
      <c r="CJ1" s="3"/>
      <c r="CK1" s="12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</row>
    <row r="2" spans="1:129" ht="56.25">
      <c r="A2" s="3"/>
      <c r="B2" s="65" t="s">
        <v>12</v>
      </c>
      <c r="C2" s="44"/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13" t="s">
        <v>25</v>
      </c>
      <c r="J2" s="2" t="s">
        <v>26</v>
      </c>
      <c r="K2" s="13" t="s">
        <v>27</v>
      </c>
      <c r="L2" s="2" t="s">
        <v>28</v>
      </c>
      <c r="M2" s="2" t="s">
        <v>117</v>
      </c>
      <c r="N2" s="2" t="s">
        <v>29</v>
      </c>
      <c r="O2" s="2" t="s">
        <v>30</v>
      </c>
      <c r="P2" s="13" t="s">
        <v>31</v>
      </c>
      <c r="Q2" s="2" t="s">
        <v>32</v>
      </c>
      <c r="R2" s="2" t="s">
        <v>33</v>
      </c>
      <c r="S2" s="2" t="s">
        <v>4</v>
      </c>
      <c r="T2" s="2" t="s">
        <v>34</v>
      </c>
      <c r="U2" s="2" t="s">
        <v>35</v>
      </c>
      <c r="V2" s="2" t="s">
        <v>36</v>
      </c>
      <c r="W2" s="2" t="s">
        <v>37</v>
      </c>
      <c r="X2" s="2" t="s">
        <v>7</v>
      </c>
      <c r="Y2" s="2" t="s">
        <v>38</v>
      </c>
      <c r="Z2" s="2" t="s">
        <v>5</v>
      </c>
      <c r="AA2" s="13" t="s">
        <v>0</v>
      </c>
      <c r="AB2" s="13" t="s">
        <v>39</v>
      </c>
      <c r="AC2" s="2" t="s">
        <v>40</v>
      </c>
      <c r="AD2" s="2" t="s">
        <v>41</v>
      </c>
      <c r="AE2" s="2" t="s">
        <v>42</v>
      </c>
      <c r="AF2" s="2" t="s">
        <v>43</v>
      </c>
      <c r="AG2" s="2" t="s">
        <v>44</v>
      </c>
      <c r="AH2" s="13" t="s">
        <v>45</v>
      </c>
      <c r="AI2" s="13" t="s">
        <v>46</v>
      </c>
      <c r="AJ2" s="2" t="s">
        <v>3</v>
      </c>
      <c r="AK2" s="2" t="s">
        <v>47</v>
      </c>
      <c r="AL2" s="2" t="s">
        <v>48</v>
      </c>
      <c r="AM2" s="2" t="s">
        <v>49</v>
      </c>
      <c r="AN2" s="2" t="s">
        <v>50</v>
      </c>
      <c r="AO2" s="13" t="s">
        <v>113</v>
      </c>
      <c r="AP2" s="13" t="s">
        <v>163</v>
      </c>
      <c r="AQ2" s="13" t="s">
        <v>89</v>
      </c>
      <c r="AR2" s="2" t="s">
        <v>51</v>
      </c>
      <c r="AS2" s="13" t="s">
        <v>52</v>
      </c>
      <c r="AT2" s="2" t="s">
        <v>53</v>
      </c>
      <c r="AU2" s="2" t="s">
        <v>54</v>
      </c>
      <c r="AV2" s="13" t="s">
        <v>6</v>
      </c>
      <c r="AW2" s="2" t="s">
        <v>55</v>
      </c>
      <c r="AX2" s="2" t="s">
        <v>56</v>
      </c>
      <c r="AY2" s="2" t="s">
        <v>57</v>
      </c>
      <c r="AZ2" s="2" t="s">
        <v>58</v>
      </c>
      <c r="BA2" s="2" t="s">
        <v>59</v>
      </c>
      <c r="BB2" s="2" t="s">
        <v>60</v>
      </c>
      <c r="BC2" s="2" t="s">
        <v>61</v>
      </c>
      <c r="BD2" s="2" t="s">
        <v>8</v>
      </c>
      <c r="BE2" s="2" t="s">
        <v>62</v>
      </c>
      <c r="BF2" s="2" t="s">
        <v>63</v>
      </c>
      <c r="BG2" s="13" t="s">
        <v>64</v>
      </c>
      <c r="BH2" s="13" t="s">
        <v>78</v>
      </c>
      <c r="BI2" s="13" t="s">
        <v>94</v>
      </c>
      <c r="BJ2" s="2" t="s">
        <v>65</v>
      </c>
      <c r="BK2" s="2" t="s">
        <v>1</v>
      </c>
      <c r="BL2" s="2" t="s">
        <v>66</v>
      </c>
      <c r="BM2" s="2" t="s">
        <v>2</v>
      </c>
      <c r="BN2" s="2" t="s">
        <v>67</v>
      </c>
      <c r="BO2" s="2" t="s">
        <v>68</v>
      </c>
      <c r="BP2" s="2" t="s">
        <v>69</v>
      </c>
      <c r="BQ2" s="13" t="s">
        <v>70</v>
      </c>
      <c r="BR2" s="2" t="s">
        <v>88</v>
      </c>
      <c r="BS2" s="2" t="s">
        <v>85</v>
      </c>
      <c r="BT2" s="2" t="s">
        <v>86</v>
      </c>
      <c r="BU2" s="13" t="s">
        <v>71</v>
      </c>
      <c r="BV2" s="2" t="s">
        <v>72</v>
      </c>
      <c r="BW2" s="2" t="s">
        <v>73</v>
      </c>
      <c r="BX2" s="2" t="s">
        <v>74</v>
      </c>
      <c r="BY2" s="2" t="s">
        <v>126</v>
      </c>
      <c r="BZ2" s="2" t="s">
        <v>124</v>
      </c>
      <c r="CA2" s="7" t="s">
        <v>92</v>
      </c>
      <c r="CB2" s="7" t="s">
        <v>91</v>
      </c>
      <c r="CC2" s="7" t="s">
        <v>75</v>
      </c>
      <c r="CD2" s="14" t="s">
        <v>76</v>
      </c>
      <c r="CE2" s="7" t="s">
        <v>77</v>
      </c>
      <c r="CF2" s="7" t="s">
        <v>90</v>
      </c>
      <c r="CG2" s="43" t="s">
        <v>102</v>
      </c>
      <c r="CH2" s="39" t="s">
        <v>96</v>
      </c>
      <c r="CI2" s="39" t="s">
        <v>107</v>
      </c>
      <c r="CJ2" s="56" t="s">
        <v>112</v>
      </c>
      <c r="CK2" s="8" t="s">
        <v>114</v>
      </c>
      <c r="CL2" s="51" t="s">
        <v>205</v>
      </c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</row>
    <row r="3" spans="1:129" ht="18.75">
      <c r="A3" s="4"/>
      <c r="B3" s="8"/>
      <c r="C3" s="8"/>
      <c r="D3" s="4">
        <v>1</v>
      </c>
      <c r="E3" s="4">
        <v>2</v>
      </c>
      <c r="F3" s="4">
        <v>3</v>
      </c>
      <c r="G3" s="31">
        <v>4</v>
      </c>
      <c r="H3" s="31">
        <v>5</v>
      </c>
      <c r="I3" s="31">
        <v>6</v>
      </c>
      <c r="J3" s="31">
        <v>7</v>
      </c>
      <c r="K3" s="31">
        <v>8</v>
      </c>
      <c r="L3" s="31">
        <v>9</v>
      </c>
      <c r="M3" s="31">
        <v>10</v>
      </c>
      <c r="N3" s="31">
        <v>11</v>
      </c>
      <c r="O3" s="31">
        <v>12</v>
      </c>
      <c r="P3" s="31">
        <v>13</v>
      </c>
      <c r="Q3" s="31">
        <v>14</v>
      </c>
      <c r="R3" s="31">
        <v>15</v>
      </c>
      <c r="S3" s="31">
        <v>16</v>
      </c>
      <c r="T3" s="31">
        <v>17</v>
      </c>
      <c r="U3" s="31">
        <v>18</v>
      </c>
      <c r="V3" s="31">
        <v>19</v>
      </c>
      <c r="W3" s="31">
        <v>20</v>
      </c>
      <c r="X3" s="31">
        <v>21</v>
      </c>
      <c r="Y3" s="31">
        <v>22</v>
      </c>
      <c r="Z3" s="31">
        <v>23</v>
      </c>
      <c r="AA3" s="31">
        <v>24</v>
      </c>
      <c r="AB3" s="31">
        <v>25</v>
      </c>
      <c r="AC3" s="31">
        <v>26</v>
      </c>
      <c r="AD3" s="31">
        <v>27</v>
      </c>
      <c r="AE3" s="31">
        <v>28</v>
      </c>
      <c r="AF3" s="31">
        <v>29</v>
      </c>
      <c r="AG3" s="31">
        <v>30</v>
      </c>
      <c r="AH3" s="31">
        <v>31</v>
      </c>
      <c r="AI3" s="31">
        <v>32</v>
      </c>
      <c r="AJ3" s="31">
        <v>33</v>
      </c>
      <c r="AK3" s="31">
        <v>34</v>
      </c>
      <c r="AL3" s="31">
        <v>35</v>
      </c>
      <c r="AM3" s="31">
        <v>36</v>
      </c>
      <c r="AN3" s="31">
        <v>37</v>
      </c>
      <c r="AO3" s="31">
        <v>38</v>
      </c>
      <c r="AP3" s="31"/>
      <c r="AQ3" s="31">
        <v>39</v>
      </c>
      <c r="AR3" s="31">
        <v>40</v>
      </c>
      <c r="AS3" s="31">
        <v>41</v>
      </c>
      <c r="AT3" s="31">
        <v>42</v>
      </c>
      <c r="AU3" s="31">
        <v>43</v>
      </c>
      <c r="AV3" s="31">
        <v>44</v>
      </c>
      <c r="AW3" s="31">
        <v>45</v>
      </c>
      <c r="AX3" s="31">
        <v>46</v>
      </c>
      <c r="AY3" s="31">
        <v>47</v>
      </c>
      <c r="AZ3" s="31">
        <v>48</v>
      </c>
      <c r="BA3" s="31">
        <v>49</v>
      </c>
      <c r="BB3" s="31">
        <v>50</v>
      </c>
      <c r="BC3" s="31">
        <v>51</v>
      </c>
      <c r="BD3" s="31">
        <v>52</v>
      </c>
      <c r="BE3" s="31">
        <v>53</v>
      </c>
      <c r="BF3" s="31">
        <v>54</v>
      </c>
      <c r="BG3" s="31">
        <v>55</v>
      </c>
      <c r="BH3" s="31">
        <v>56</v>
      </c>
      <c r="BI3" s="31">
        <v>57</v>
      </c>
      <c r="BJ3" s="31">
        <v>58</v>
      </c>
      <c r="BK3" s="31">
        <v>59</v>
      </c>
      <c r="BL3" s="31">
        <v>60</v>
      </c>
      <c r="BM3" s="31">
        <v>61</v>
      </c>
      <c r="BN3" s="31">
        <v>62</v>
      </c>
      <c r="BO3" s="31">
        <v>63</v>
      </c>
      <c r="BP3" s="31">
        <v>64</v>
      </c>
      <c r="BQ3" s="31">
        <v>65</v>
      </c>
      <c r="BR3" s="31">
        <v>66</v>
      </c>
      <c r="BS3" s="31">
        <v>67</v>
      </c>
      <c r="BT3" s="31">
        <v>68</v>
      </c>
      <c r="BU3" s="31">
        <v>69</v>
      </c>
      <c r="BV3" s="31">
        <v>70</v>
      </c>
      <c r="BW3" s="31">
        <v>71</v>
      </c>
      <c r="BX3" s="31">
        <v>72</v>
      </c>
      <c r="BY3" s="31"/>
      <c r="BZ3" s="31">
        <v>73</v>
      </c>
      <c r="CA3" s="31">
        <v>74</v>
      </c>
      <c r="CB3" s="31">
        <v>75</v>
      </c>
      <c r="CC3" s="31">
        <v>76</v>
      </c>
      <c r="CD3" s="31">
        <v>77</v>
      </c>
      <c r="CE3" s="31">
        <v>78</v>
      </c>
      <c r="CF3" s="31">
        <v>79</v>
      </c>
      <c r="CG3" s="31">
        <v>80</v>
      </c>
      <c r="CH3" s="31">
        <v>81</v>
      </c>
      <c r="CI3" s="31">
        <v>82</v>
      </c>
      <c r="CJ3" s="31">
        <v>83</v>
      </c>
      <c r="CK3" s="31">
        <v>84</v>
      </c>
      <c r="CL3" s="2">
        <v>85</v>
      </c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</row>
    <row r="4" spans="1:129" ht="37.5">
      <c r="A4" s="1" t="s">
        <v>9</v>
      </c>
      <c r="B4" s="2" t="s">
        <v>10</v>
      </c>
      <c r="C4" s="2" t="s">
        <v>11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115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42"/>
      <c r="CI4" s="31"/>
      <c r="CJ4" s="113"/>
      <c r="CK4" s="31"/>
      <c r="CL4" s="3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</row>
    <row r="5" spans="1:129" ht="18.75" hidden="1">
      <c r="A5" s="32" t="s">
        <v>122</v>
      </c>
      <c r="B5" s="2" t="s">
        <v>123</v>
      </c>
      <c r="C5" s="8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113"/>
      <c r="CK5" s="31"/>
      <c r="CL5" s="31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</row>
    <row r="6" spans="1:129" ht="18.75">
      <c r="A6" s="32" t="s">
        <v>220</v>
      </c>
      <c r="B6" s="2" t="s">
        <v>198</v>
      </c>
      <c r="C6" s="64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>
        <v>1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113"/>
      <c r="CK6" s="31"/>
      <c r="CL6" s="31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</row>
    <row r="7" spans="1:129" ht="18.75">
      <c r="A7" s="32"/>
      <c r="B7" s="2" t="s">
        <v>197</v>
      </c>
      <c r="C7" s="8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>
        <v>1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113"/>
      <c r="CK7" s="31"/>
      <c r="CL7" s="31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</row>
    <row r="8" spans="1:129" ht="18.75">
      <c r="A8" s="32" t="s">
        <v>221</v>
      </c>
      <c r="B8" s="2" t="s">
        <v>201</v>
      </c>
      <c r="C8" s="51" t="s">
        <v>203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>
        <v>26</v>
      </c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>
        <v>26</v>
      </c>
      <c r="CI8" s="31"/>
      <c r="CJ8" s="113"/>
      <c r="CK8" s="31"/>
      <c r="CL8" s="31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</row>
    <row r="9" spans="1:129" ht="18.75">
      <c r="A9" s="32"/>
      <c r="B9" s="2" t="s">
        <v>199</v>
      </c>
      <c r="C9" s="8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>
        <v>14</v>
      </c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113"/>
      <c r="CK9" s="31"/>
      <c r="CL9" s="31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</row>
    <row r="10" spans="1:129" ht="18.75">
      <c r="A10" s="32" t="s">
        <v>222</v>
      </c>
      <c r="B10" s="2" t="s">
        <v>201</v>
      </c>
      <c r="C10" s="8" t="s">
        <v>202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>
        <v>16</v>
      </c>
      <c r="CI10" s="31"/>
      <c r="CJ10" s="113"/>
      <c r="CK10" s="31"/>
      <c r="CL10" s="31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</row>
    <row r="11" spans="1:129" ht="18.75">
      <c r="A11" s="32"/>
      <c r="B11" s="2" t="s">
        <v>223</v>
      </c>
      <c r="C11" s="8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>
        <v>2</v>
      </c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113"/>
      <c r="CK11" s="31"/>
      <c r="CL11" s="31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</row>
    <row r="12" spans="1:129" ht="18.75">
      <c r="A12" s="32"/>
      <c r="B12" s="2" t="s">
        <v>224</v>
      </c>
      <c r="C12" s="8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>
        <v>2</v>
      </c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113"/>
      <c r="CK12" s="31"/>
      <c r="CL12" s="31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</row>
    <row r="13" spans="1:129" ht="18.75">
      <c r="A13" s="32"/>
      <c r="B13" s="66" t="s">
        <v>206</v>
      </c>
      <c r="C13" s="8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>
        <v>1</v>
      </c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>
        <v>1</v>
      </c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113"/>
      <c r="CK13" s="31"/>
      <c r="CL13" s="31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</row>
    <row r="14" spans="1:129" ht="18.75">
      <c r="A14" s="32"/>
      <c r="B14" s="8" t="s">
        <v>209</v>
      </c>
      <c r="C14" s="8"/>
      <c r="D14" s="31"/>
      <c r="E14" s="31"/>
      <c r="F14" s="31"/>
      <c r="G14" s="31"/>
      <c r="H14" s="31"/>
      <c r="I14" s="31"/>
      <c r="J14" s="31"/>
      <c r="K14" s="31">
        <v>5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113"/>
      <c r="CK14" s="31"/>
      <c r="CL14" s="31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</row>
    <row r="15" spans="1:129" ht="18.75">
      <c r="A15" s="32"/>
      <c r="B15" s="8" t="s">
        <v>225</v>
      </c>
      <c r="C15" s="8"/>
      <c r="D15" s="31">
        <v>1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125"/>
      <c r="CK15" s="31"/>
      <c r="CL15" s="31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</row>
    <row r="16" spans="1:129" ht="18.75">
      <c r="A16" s="32" t="s">
        <v>226</v>
      </c>
      <c r="B16" s="2" t="s">
        <v>227</v>
      </c>
      <c r="C16" s="8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>
        <v>1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>
        <v>1</v>
      </c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113"/>
      <c r="CK16" s="31"/>
      <c r="CL16" s="31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</row>
    <row r="17" spans="1:129" ht="19.5">
      <c r="A17" s="32"/>
      <c r="B17" s="58" t="s">
        <v>207</v>
      </c>
      <c r="C17" s="112" t="s">
        <v>202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>
        <v>24</v>
      </c>
      <c r="CI17" s="31"/>
      <c r="CJ17" s="113"/>
      <c r="CK17" s="31"/>
      <c r="CL17" s="31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</row>
    <row r="18" spans="1:129" ht="18.75">
      <c r="A18" s="32"/>
      <c r="B18" s="8" t="s">
        <v>208</v>
      </c>
      <c r="C18" s="8"/>
      <c r="D18" s="8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>
        <v>1</v>
      </c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113"/>
      <c r="CK18" s="31"/>
      <c r="CL18" s="31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</row>
    <row r="19" spans="1:129" ht="18.75">
      <c r="A19" s="32"/>
      <c r="B19" s="8" t="s">
        <v>228</v>
      </c>
      <c r="C19" s="8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>
        <v>10</v>
      </c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113"/>
      <c r="CK19" s="31"/>
      <c r="CL19" s="31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</row>
    <row r="20" spans="1:129" ht="18.75">
      <c r="A20" s="32"/>
      <c r="B20" s="8" t="s">
        <v>198</v>
      </c>
      <c r="C20" s="5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>
        <v>1</v>
      </c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113"/>
      <c r="CK20" s="31"/>
      <c r="CL20" s="31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</row>
    <row r="21" spans="1:129" ht="18.75">
      <c r="A21" s="32" t="s">
        <v>229</v>
      </c>
      <c r="B21" s="8" t="s">
        <v>195</v>
      </c>
      <c r="C21" s="8" t="s">
        <v>196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>
        <v>13</v>
      </c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>
        <v>23</v>
      </c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>
        <v>23</v>
      </c>
      <c r="CI21" s="31"/>
      <c r="CJ21" s="113"/>
      <c r="CK21" s="31"/>
      <c r="CL21" s="31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</row>
    <row r="22" spans="1:129" ht="21" customHeight="1">
      <c r="A22" s="32"/>
      <c r="B22" s="67" t="s">
        <v>207</v>
      </c>
      <c r="C22" s="2" t="s">
        <v>202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>
        <v>22</v>
      </c>
      <c r="CI22" s="31"/>
      <c r="CJ22" s="113"/>
      <c r="CK22" s="31"/>
      <c r="CL22" s="31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</row>
    <row r="23" spans="1:129" ht="18.75">
      <c r="A23" s="32"/>
      <c r="B23" s="67" t="s">
        <v>230</v>
      </c>
      <c r="C23" s="8" t="s">
        <v>231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>
        <v>34</v>
      </c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>
        <v>34</v>
      </c>
      <c r="CI23" s="31"/>
      <c r="CJ23" s="113"/>
      <c r="CK23" s="31"/>
      <c r="CL23" s="31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</row>
    <row r="24" spans="1:129" ht="37.5">
      <c r="A24" s="32" t="s">
        <v>232</v>
      </c>
      <c r="B24" s="8" t="s">
        <v>233</v>
      </c>
      <c r="C24" s="5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>
        <v>1</v>
      </c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113"/>
      <c r="CK24" s="31"/>
      <c r="CL24" s="31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</row>
    <row r="25" spans="1:129" ht="18.75">
      <c r="A25" s="32"/>
      <c r="B25" s="8" t="s">
        <v>234</v>
      </c>
      <c r="C25" s="5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>
        <v>1</v>
      </c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113"/>
      <c r="CK25" s="31"/>
      <c r="CL25" s="31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</row>
    <row r="26" spans="1:129" ht="18.75">
      <c r="A26" s="32" t="s">
        <v>235</v>
      </c>
      <c r="B26" s="8" t="s">
        <v>198</v>
      </c>
      <c r="C26" s="2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>
        <v>2</v>
      </c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113"/>
      <c r="CK26" s="31"/>
      <c r="CL26" s="31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</row>
    <row r="27" spans="1:129" ht="18.75">
      <c r="A27" s="32"/>
      <c r="B27" s="8" t="s">
        <v>197</v>
      </c>
      <c r="C27" s="2" t="s">
        <v>236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>
        <v>10</v>
      </c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>
        <v>17</v>
      </c>
      <c r="AW27" s="31">
        <v>10</v>
      </c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>
        <v>10</v>
      </c>
      <c r="CI27" s="31"/>
      <c r="CJ27" s="113"/>
      <c r="CK27" s="31"/>
      <c r="CL27" s="31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</row>
    <row r="28" spans="1:129" ht="18.75">
      <c r="A28" s="32"/>
      <c r="B28" s="2" t="s">
        <v>204</v>
      </c>
      <c r="C28" s="8" t="s">
        <v>202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>
        <v>12</v>
      </c>
      <c r="CI28" s="31"/>
      <c r="CJ28" s="113"/>
      <c r="CK28" s="31"/>
      <c r="CL28" s="31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</row>
    <row r="29" spans="1:129" ht="18.75">
      <c r="A29" s="32"/>
      <c r="B29" s="2" t="s">
        <v>200</v>
      </c>
      <c r="C29" s="8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>
        <v>1</v>
      </c>
      <c r="AI29" s="31"/>
      <c r="AJ29" s="31"/>
      <c r="AK29" s="31"/>
      <c r="AL29" s="31"/>
      <c r="AM29" s="31"/>
      <c r="AN29" s="31"/>
      <c r="AO29" s="31"/>
      <c r="AP29" s="31"/>
      <c r="AQ29" s="31">
        <v>1</v>
      </c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>
        <v>1</v>
      </c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120"/>
      <c r="CK29" s="31"/>
      <c r="CL29" s="31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</row>
    <row r="30" spans="1:129" ht="18.75">
      <c r="A30" s="32"/>
      <c r="B30" s="2" t="s">
        <v>199</v>
      </c>
      <c r="C30" s="2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>
        <v>1</v>
      </c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113"/>
      <c r="CK30" s="31"/>
      <c r="CL30" s="31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</row>
    <row r="31" spans="1:129" ht="18.75">
      <c r="A31" s="32"/>
      <c r="B31" s="8" t="s">
        <v>237</v>
      </c>
      <c r="C31" s="2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>
        <v>2</v>
      </c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113"/>
      <c r="CK31" s="31"/>
      <c r="CL31" s="31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</row>
    <row r="32" spans="1:129" ht="18.75">
      <c r="A32" s="32"/>
      <c r="B32" s="8" t="s">
        <v>204</v>
      </c>
      <c r="C32" s="112" t="s">
        <v>238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>
        <v>3</v>
      </c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>
        <v>3</v>
      </c>
      <c r="CI32" s="31"/>
      <c r="CJ32" s="113"/>
      <c r="CK32" s="31"/>
      <c r="CL32" s="31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</row>
    <row r="33" spans="1:129" ht="18.75">
      <c r="A33" s="32" t="s">
        <v>239</v>
      </c>
      <c r="B33" s="8" t="s">
        <v>207</v>
      </c>
      <c r="C33" s="8" t="s">
        <v>202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>
        <v>28</v>
      </c>
      <c r="CI33" s="31"/>
      <c r="CJ33" s="113"/>
      <c r="CK33" s="31"/>
      <c r="CL33" s="31">
        <v>1</v>
      </c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</row>
    <row r="34" spans="1:129" ht="18.75">
      <c r="A34" s="32"/>
      <c r="B34" s="8" t="s">
        <v>201</v>
      </c>
      <c r="C34" s="51" t="s">
        <v>203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>
        <v>24</v>
      </c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>
        <v>24</v>
      </c>
      <c r="CI34" s="31"/>
      <c r="CJ34" s="113"/>
      <c r="CK34" s="31"/>
      <c r="CL34" s="31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</row>
    <row r="35" spans="1:129" ht="18.75">
      <c r="A35" s="32"/>
      <c r="B35" s="8" t="s">
        <v>240</v>
      </c>
      <c r="C35" s="51"/>
      <c r="D35" s="31"/>
      <c r="E35" s="31"/>
      <c r="F35" s="31"/>
      <c r="G35" s="31"/>
      <c r="H35" s="31"/>
      <c r="I35" s="31"/>
      <c r="J35" s="31"/>
      <c r="K35" s="31">
        <v>3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113"/>
      <c r="CK35" s="31"/>
      <c r="CL35" s="31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</row>
    <row r="36" spans="1:129" ht="22.5" customHeight="1">
      <c r="A36" s="32"/>
      <c r="B36" s="8" t="s">
        <v>230</v>
      </c>
      <c r="C36" s="51" t="s">
        <v>231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>
        <v>22</v>
      </c>
      <c r="AW36" s="31">
        <v>22</v>
      </c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113"/>
      <c r="CK36" s="31"/>
      <c r="CL36" s="31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</row>
    <row r="37" spans="1:129" ht="18.75">
      <c r="A37" s="32"/>
      <c r="B37" s="8" t="s">
        <v>237</v>
      </c>
      <c r="C37" s="5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>
        <v>4</v>
      </c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113"/>
      <c r="CK37" s="31"/>
      <c r="CL37" s="31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</row>
    <row r="38" spans="1:129" ht="18.75">
      <c r="A38" s="32" t="s">
        <v>241</v>
      </c>
      <c r="B38" s="8" t="s">
        <v>242</v>
      </c>
      <c r="C38" s="5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>
        <v>1</v>
      </c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117"/>
      <c r="CK38" s="31"/>
      <c r="CL38" s="31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</row>
    <row r="39" spans="1:129" ht="18.75">
      <c r="A39" s="32"/>
      <c r="B39" s="8" t="s">
        <v>198</v>
      </c>
      <c r="C39" s="5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>
        <v>1</v>
      </c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117"/>
      <c r="CK39" s="31"/>
      <c r="CL39" s="31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</row>
    <row r="40" spans="1:129" ht="18.75">
      <c r="A40" s="32" t="s">
        <v>243</v>
      </c>
      <c r="B40" s="8" t="s">
        <v>197</v>
      </c>
      <c r="C40" s="5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>
        <v>1</v>
      </c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>
        <v>1</v>
      </c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121"/>
      <c r="CK40" s="31"/>
      <c r="CL40" s="31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</row>
    <row r="41" spans="1:129" ht="18.75">
      <c r="A41" s="32"/>
      <c r="B41" s="8" t="s">
        <v>195</v>
      </c>
      <c r="C41" s="51" t="s">
        <v>196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>
        <v>9</v>
      </c>
      <c r="AW41" s="31">
        <v>9</v>
      </c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121"/>
      <c r="CK41" s="31"/>
      <c r="CL41" s="31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</row>
    <row r="42" spans="1:129" ht="37.5">
      <c r="A42" s="32"/>
      <c r="B42" s="8" t="s">
        <v>244</v>
      </c>
      <c r="C42" s="5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>
        <v>2</v>
      </c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121"/>
      <c r="CK42" s="31"/>
      <c r="CL42" s="31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</row>
    <row r="43" spans="1:129" ht="18.75">
      <c r="A43" s="32" t="s">
        <v>245</v>
      </c>
      <c r="B43" s="8" t="s">
        <v>195</v>
      </c>
      <c r="C43" s="51" t="s">
        <v>196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>
        <v>20</v>
      </c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>
        <v>22</v>
      </c>
      <c r="CI43" s="31"/>
      <c r="CJ43" s="121"/>
      <c r="CK43" s="31"/>
      <c r="CL43" s="31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</row>
    <row r="44" spans="1:129" ht="18.75">
      <c r="A44" s="32"/>
      <c r="B44" s="8" t="s">
        <v>230</v>
      </c>
      <c r="C44" s="51" t="s">
        <v>231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>
        <v>20</v>
      </c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>
        <v>20</v>
      </c>
      <c r="CI44" s="31"/>
      <c r="CJ44" s="121"/>
      <c r="CK44" s="31"/>
      <c r="CL44" s="31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</row>
    <row r="45" spans="1:129" ht="18.75">
      <c r="A45" s="32" t="s">
        <v>246</v>
      </c>
      <c r="B45" s="8" t="s">
        <v>201</v>
      </c>
      <c r="C45" s="51" t="s">
        <v>203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>
        <v>37</v>
      </c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>
        <v>37</v>
      </c>
      <c r="CI45" s="31"/>
      <c r="CJ45" s="117"/>
      <c r="CK45" s="31"/>
      <c r="CL45" s="31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</row>
    <row r="46" spans="1:129" ht="18.75">
      <c r="A46" s="32"/>
      <c r="B46" s="8" t="s">
        <v>247</v>
      </c>
      <c r="C46" s="51"/>
      <c r="D46" s="31"/>
      <c r="E46" s="31"/>
      <c r="F46" s="31"/>
      <c r="G46" s="31"/>
      <c r="H46" s="31"/>
      <c r="I46" s="31"/>
      <c r="J46" s="31"/>
      <c r="K46" s="31">
        <v>1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117"/>
      <c r="CK46" s="31"/>
      <c r="CL46" s="31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</row>
    <row r="47" spans="1:129" ht="18.75">
      <c r="A47" s="32" t="s">
        <v>248</v>
      </c>
      <c r="B47" s="8" t="s">
        <v>249</v>
      </c>
      <c r="C47" s="5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>
        <v>1</v>
      </c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117"/>
      <c r="CK47" s="31"/>
      <c r="CL47" s="31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</row>
    <row r="48" spans="1:129" ht="18.75">
      <c r="A48" s="32"/>
      <c r="B48" s="8" t="s">
        <v>199</v>
      </c>
      <c r="C48" s="5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>
        <v>5</v>
      </c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113"/>
      <c r="CK48" s="31"/>
      <c r="CL48" s="31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</row>
    <row r="49" spans="1:129" ht="18.75">
      <c r="A49" s="32" t="s">
        <v>250</v>
      </c>
      <c r="B49" s="8" t="s">
        <v>198</v>
      </c>
      <c r="C49" s="5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>
        <v>1</v>
      </c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122"/>
      <c r="CK49" s="31"/>
      <c r="CL49" s="31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</row>
    <row r="50" spans="1:129" ht="18.75">
      <c r="A50" s="32"/>
      <c r="B50" s="8" t="s">
        <v>251</v>
      </c>
      <c r="C50" s="5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>
        <v>1</v>
      </c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122"/>
      <c r="CK50" s="31"/>
      <c r="CL50" s="31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</row>
    <row r="51" spans="1:129" ht="18.75">
      <c r="A51" s="32"/>
      <c r="B51" s="8" t="s">
        <v>197</v>
      </c>
      <c r="C51" s="51"/>
      <c r="D51" s="31"/>
      <c r="E51" s="31"/>
      <c r="F51" s="31"/>
      <c r="G51" s="31"/>
      <c r="H51" s="31"/>
      <c r="I51" s="31"/>
      <c r="J51" s="31"/>
      <c r="K51" s="31">
        <v>1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122"/>
      <c r="CK51" s="31"/>
      <c r="CL51" s="31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</row>
    <row r="52" spans="1:129" ht="18.75">
      <c r="A52" s="32" t="s">
        <v>252</v>
      </c>
      <c r="B52" s="8" t="s">
        <v>253</v>
      </c>
      <c r="C52" s="5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>
        <v>1</v>
      </c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122"/>
      <c r="CK52" s="31"/>
      <c r="CL52" s="31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</row>
    <row r="53" spans="1:129" ht="18.75">
      <c r="A53" s="32" t="s">
        <v>254</v>
      </c>
      <c r="B53" s="8" t="s">
        <v>204</v>
      </c>
      <c r="C53" s="51" t="s">
        <v>202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>
        <v>12</v>
      </c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>
        <v>38</v>
      </c>
      <c r="CI53" s="31"/>
      <c r="CJ53" s="122"/>
      <c r="CK53" s="31"/>
      <c r="CL53" s="31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</row>
    <row r="54" spans="1:129" ht="18.75">
      <c r="A54" s="32"/>
      <c r="B54" s="8" t="s">
        <v>209</v>
      </c>
      <c r="C54" s="5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>
        <v>1</v>
      </c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122"/>
      <c r="CK54" s="31"/>
      <c r="CL54" s="31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</row>
    <row r="55" spans="1:129" ht="18.75">
      <c r="A55" s="32"/>
      <c r="B55" s="8" t="s">
        <v>198</v>
      </c>
      <c r="C55" s="5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>
        <v>1</v>
      </c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122"/>
      <c r="CK55" s="31"/>
      <c r="CL55" s="31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</row>
    <row r="56" spans="1:129" ht="18.75">
      <c r="A56" s="32" t="s">
        <v>255</v>
      </c>
      <c r="B56" s="8" t="s">
        <v>207</v>
      </c>
      <c r="C56" s="51" t="s">
        <v>202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>
        <v>36</v>
      </c>
      <c r="CI56" s="31"/>
      <c r="CJ56" s="122"/>
      <c r="CK56" s="31"/>
      <c r="CL56" s="31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</row>
    <row r="57" spans="1:129" ht="18.75">
      <c r="A57" s="32"/>
      <c r="B57" s="8" t="s">
        <v>201</v>
      </c>
      <c r="C57" s="51" t="s">
        <v>203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>
        <v>39</v>
      </c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>
        <v>39</v>
      </c>
      <c r="CI57" s="31"/>
      <c r="CJ57" s="122"/>
      <c r="CK57" s="31"/>
      <c r="CL57" s="31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</row>
    <row r="58" spans="1:129" ht="18.75">
      <c r="A58" s="32"/>
      <c r="B58" s="8" t="s">
        <v>198</v>
      </c>
      <c r="C58" s="5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>
        <v>1</v>
      </c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123"/>
      <c r="CK58" s="31"/>
      <c r="CL58" s="31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</row>
    <row r="59" spans="1:129" ht="18.75">
      <c r="A59" s="32"/>
      <c r="B59" s="8" t="s">
        <v>227</v>
      </c>
      <c r="C59" s="5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>
        <v>1</v>
      </c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126"/>
      <c r="CK59" s="31"/>
      <c r="CL59" s="31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</row>
    <row r="60" spans="1:129" ht="18.75">
      <c r="A60" s="32"/>
      <c r="B60" s="8" t="s">
        <v>256</v>
      </c>
      <c r="C60" s="51"/>
      <c r="D60" s="31"/>
      <c r="E60" s="31"/>
      <c r="F60" s="31"/>
      <c r="G60" s="31"/>
      <c r="H60" s="31"/>
      <c r="I60" s="31">
        <v>2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123"/>
      <c r="CK60" s="31"/>
      <c r="CL60" s="31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</row>
    <row r="61" spans="1:129" ht="37.5">
      <c r="A61" s="32" t="s">
        <v>261</v>
      </c>
      <c r="B61" s="8" t="s">
        <v>262</v>
      </c>
      <c r="C61" s="51" t="s">
        <v>263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>
        <v>50</v>
      </c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122"/>
      <c r="CK61" s="31"/>
      <c r="CL61" s="31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</row>
    <row r="62" spans="1:129" ht="18.75">
      <c r="A62" s="32" t="s">
        <v>264</v>
      </c>
      <c r="B62" s="8" t="s">
        <v>204</v>
      </c>
      <c r="C62" s="51" t="s">
        <v>202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>
        <v>23</v>
      </c>
      <c r="CI62" s="31"/>
      <c r="CJ62" s="122"/>
      <c r="CK62" s="31"/>
      <c r="CL62" s="31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</row>
    <row r="63" spans="1:129" ht="31.5">
      <c r="A63" s="32"/>
      <c r="B63" s="8" t="s">
        <v>265</v>
      </c>
      <c r="C63" s="51" t="s">
        <v>266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>
        <v>2</v>
      </c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>
        <v>2</v>
      </c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124"/>
      <c r="CK63" s="31"/>
      <c r="CL63" s="31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</row>
    <row r="64" spans="1:129" ht="18.75">
      <c r="A64" s="32"/>
      <c r="B64" s="8" t="s">
        <v>200</v>
      </c>
      <c r="C64" s="5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>
        <v>1</v>
      </c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>
        <v>1</v>
      </c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>
        <v>1</v>
      </c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131"/>
      <c r="CK64" s="31"/>
      <c r="CL64" s="31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</row>
    <row r="65" spans="1:129" ht="18.75">
      <c r="A65" s="32" t="s">
        <v>268</v>
      </c>
      <c r="B65" s="8" t="s">
        <v>207</v>
      </c>
      <c r="C65" s="51" t="s">
        <v>202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>
        <v>4</v>
      </c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>
        <v>28</v>
      </c>
      <c r="CI65" s="31"/>
      <c r="CJ65" s="131"/>
      <c r="CK65" s="31"/>
      <c r="CL65" s="31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</row>
    <row r="66" spans="1:129" ht="18.75">
      <c r="A66" s="32"/>
      <c r="B66" s="8" t="s">
        <v>198</v>
      </c>
      <c r="C66" s="5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>
        <v>1</v>
      </c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131"/>
      <c r="CK66" s="31"/>
      <c r="CL66" s="31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</row>
    <row r="67" spans="1:129" ht="19.5">
      <c r="A67" s="84"/>
      <c r="B67" s="51" t="s">
        <v>269</v>
      </c>
      <c r="C67" s="5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>
        <v>1</v>
      </c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>
        <v>1</v>
      </c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>
        <v>5</v>
      </c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>
        <v>5</v>
      </c>
      <c r="BR67" s="31"/>
      <c r="BS67" s="31"/>
      <c r="BT67" s="31"/>
      <c r="BU67" s="31"/>
      <c r="BV67" s="31"/>
      <c r="BW67" s="31"/>
      <c r="BX67" s="31">
        <v>16</v>
      </c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131"/>
      <c r="CK67" s="31"/>
      <c r="CL67" s="31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</row>
    <row r="68" spans="1:129" ht="18.75">
      <c r="A68" s="32"/>
      <c r="B68" s="8"/>
      <c r="C68" s="5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124"/>
      <c r="CK68" s="31"/>
      <c r="CL68" s="31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</row>
    <row r="69" spans="1:129" ht="18.75">
      <c r="A69" s="32"/>
      <c r="B69" s="8"/>
      <c r="C69" s="5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132"/>
      <c r="CK69" s="31"/>
      <c r="CL69" s="31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</row>
    <row r="70" spans="1:129" ht="18.75">
      <c r="A70" s="32"/>
      <c r="B70" s="8"/>
      <c r="C70" s="5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132"/>
      <c r="CK70" s="31"/>
      <c r="CL70" s="31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</row>
    <row r="71" spans="1:129" ht="18.75">
      <c r="A71" s="32"/>
      <c r="B71" s="8"/>
      <c r="C71" s="5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132"/>
      <c r="CK71" s="31"/>
      <c r="CL71" s="31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</row>
    <row r="72" spans="1:129" ht="27.75">
      <c r="A72" s="7" t="s">
        <v>138</v>
      </c>
      <c r="B72" s="8"/>
      <c r="C72" s="8"/>
      <c r="D72" s="108">
        <f t="shared" ref="D72:AI72" si="0">SUM(D4:D71)</f>
        <v>1</v>
      </c>
      <c r="E72" s="108">
        <f t="shared" si="0"/>
        <v>0</v>
      </c>
      <c r="F72" s="108">
        <f t="shared" si="0"/>
        <v>0</v>
      </c>
      <c r="G72" s="108">
        <f t="shared" si="0"/>
        <v>0</v>
      </c>
      <c r="H72" s="108">
        <f t="shared" si="0"/>
        <v>0</v>
      </c>
      <c r="I72" s="108">
        <f t="shared" si="0"/>
        <v>2</v>
      </c>
      <c r="J72" s="108">
        <f t="shared" si="0"/>
        <v>0</v>
      </c>
      <c r="K72" s="108">
        <f t="shared" si="0"/>
        <v>10</v>
      </c>
      <c r="L72" s="108">
        <f t="shared" si="0"/>
        <v>0</v>
      </c>
      <c r="M72" s="108">
        <f t="shared" si="0"/>
        <v>0</v>
      </c>
      <c r="N72" s="108">
        <f t="shared" si="0"/>
        <v>0</v>
      </c>
      <c r="O72" s="108">
        <f t="shared" si="0"/>
        <v>0</v>
      </c>
      <c r="P72" s="108">
        <f t="shared" si="0"/>
        <v>3</v>
      </c>
      <c r="Q72" s="108">
        <f t="shared" si="0"/>
        <v>0</v>
      </c>
      <c r="R72" s="108">
        <f t="shared" si="0"/>
        <v>0</v>
      </c>
      <c r="S72" s="108">
        <f t="shared" si="0"/>
        <v>2</v>
      </c>
      <c r="T72" s="108">
        <f t="shared" si="0"/>
        <v>0</v>
      </c>
      <c r="U72" s="108">
        <f t="shared" si="0"/>
        <v>0</v>
      </c>
      <c r="V72" s="108">
        <f t="shared" si="0"/>
        <v>1</v>
      </c>
      <c r="W72" s="108">
        <f t="shared" si="0"/>
        <v>0</v>
      </c>
      <c r="X72" s="108">
        <f t="shared" si="0"/>
        <v>0</v>
      </c>
      <c r="Y72" s="108">
        <f t="shared" si="0"/>
        <v>0</v>
      </c>
      <c r="Z72" s="108">
        <f t="shared" si="0"/>
        <v>0</v>
      </c>
      <c r="AA72" s="108">
        <f t="shared" si="0"/>
        <v>0</v>
      </c>
      <c r="AB72" s="108">
        <f t="shared" si="0"/>
        <v>1</v>
      </c>
      <c r="AC72" s="108">
        <f t="shared" si="0"/>
        <v>1</v>
      </c>
      <c r="AD72" s="108">
        <f t="shared" si="0"/>
        <v>0</v>
      </c>
      <c r="AE72" s="108">
        <f t="shared" si="0"/>
        <v>1</v>
      </c>
      <c r="AF72" s="108">
        <f t="shared" si="0"/>
        <v>0</v>
      </c>
      <c r="AG72" s="108">
        <f t="shared" si="0"/>
        <v>0</v>
      </c>
      <c r="AH72" s="108">
        <f t="shared" si="0"/>
        <v>13</v>
      </c>
      <c r="AI72" s="108">
        <f t="shared" si="0"/>
        <v>2</v>
      </c>
      <c r="AJ72" s="108">
        <f t="shared" ref="AJ72:BO72" si="1">SUM(AJ4:AJ71)</f>
        <v>0</v>
      </c>
      <c r="AK72" s="108">
        <f t="shared" si="1"/>
        <v>0</v>
      </c>
      <c r="AL72" s="108">
        <f t="shared" si="1"/>
        <v>0</v>
      </c>
      <c r="AM72" s="108">
        <f t="shared" si="1"/>
        <v>1</v>
      </c>
      <c r="AN72" s="108">
        <f t="shared" si="1"/>
        <v>1</v>
      </c>
      <c r="AO72" s="108">
        <f t="shared" si="1"/>
        <v>0</v>
      </c>
      <c r="AP72" s="108">
        <f t="shared" si="1"/>
        <v>0</v>
      </c>
      <c r="AQ72" s="108">
        <f t="shared" si="1"/>
        <v>20</v>
      </c>
      <c r="AR72" s="108">
        <f t="shared" si="1"/>
        <v>0</v>
      </c>
      <c r="AS72" s="108">
        <f t="shared" si="1"/>
        <v>1</v>
      </c>
      <c r="AT72" s="108">
        <f t="shared" si="1"/>
        <v>0</v>
      </c>
      <c r="AU72" s="108">
        <f t="shared" si="1"/>
        <v>0</v>
      </c>
      <c r="AV72" s="108">
        <f t="shared" si="1"/>
        <v>138</v>
      </c>
      <c r="AW72" s="108">
        <f t="shared" si="1"/>
        <v>54</v>
      </c>
      <c r="AX72" s="108">
        <f t="shared" si="1"/>
        <v>0</v>
      </c>
      <c r="AY72" s="108">
        <f t="shared" si="1"/>
        <v>0</v>
      </c>
      <c r="AZ72" s="108">
        <f t="shared" si="1"/>
        <v>0</v>
      </c>
      <c r="BA72" s="108">
        <f t="shared" si="1"/>
        <v>1</v>
      </c>
      <c r="BB72" s="108">
        <f t="shared" si="1"/>
        <v>0</v>
      </c>
      <c r="BC72" s="108">
        <f t="shared" si="1"/>
        <v>1</v>
      </c>
      <c r="BD72" s="108">
        <f t="shared" si="1"/>
        <v>0</v>
      </c>
      <c r="BE72" s="108">
        <f t="shared" si="1"/>
        <v>0</v>
      </c>
      <c r="BF72" s="108">
        <f t="shared" si="1"/>
        <v>0</v>
      </c>
      <c r="BG72" s="108">
        <f t="shared" si="1"/>
        <v>10</v>
      </c>
      <c r="BH72" s="108">
        <f t="shared" si="1"/>
        <v>0</v>
      </c>
      <c r="BI72" s="108">
        <f t="shared" si="1"/>
        <v>229</v>
      </c>
      <c r="BJ72" s="108">
        <f t="shared" si="1"/>
        <v>0</v>
      </c>
      <c r="BK72" s="108">
        <f t="shared" si="1"/>
        <v>0</v>
      </c>
      <c r="BL72" s="108">
        <f t="shared" si="1"/>
        <v>0</v>
      </c>
      <c r="BM72" s="108">
        <f t="shared" si="1"/>
        <v>0</v>
      </c>
      <c r="BN72" s="108">
        <f t="shared" si="1"/>
        <v>1</v>
      </c>
      <c r="BO72" s="108">
        <f t="shared" si="1"/>
        <v>0</v>
      </c>
      <c r="BP72" s="108">
        <f t="shared" ref="BP72:CK72" si="2">SUM(BP4:BP71)</f>
        <v>0</v>
      </c>
      <c r="BQ72" s="108">
        <f t="shared" si="2"/>
        <v>8</v>
      </c>
      <c r="BR72" s="108">
        <f t="shared" si="2"/>
        <v>0</v>
      </c>
      <c r="BS72" s="108">
        <f t="shared" si="2"/>
        <v>0</v>
      </c>
      <c r="BT72" s="108">
        <f t="shared" si="2"/>
        <v>0</v>
      </c>
      <c r="BU72" s="108">
        <f t="shared" si="2"/>
        <v>0</v>
      </c>
      <c r="BV72" s="108">
        <f t="shared" si="2"/>
        <v>0</v>
      </c>
      <c r="BW72" s="108">
        <f t="shared" si="2"/>
        <v>0</v>
      </c>
      <c r="BX72" s="108">
        <f t="shared" si="2"/>
        <v>20</v>
      </c>
      <c r="BY72" s="108">
        <f t="shared" si="2"/>
        <v>0</v>
      </c>
      <c r="BZ72" s="108">
        <f t="shared" si="2"/>
        <v>0</v>
      </c>
      <c r="CA72" s="108">
        <f t="shared" si="2"/>
        <v>0</v>
      </c>
      <c r="CB72" s="108">
        <f t="shared" si="2"/>
        <v>0</v>
      </c>
      <c r="CC72" s="108">
        <f t="shared" si="2"/>
        <v>0</v>
      </c>
      <c r="CD72" s="108">
        <f t="shared" si="2"/>
        <v>0</v>
      </c>
      <c r="CE72" s="108">
        <f t="shared" si="2"/>
        <v>0</v>
      </c>
      <c r="CF72" s="108">
        <f t="shared" si="2"/>
        <v>0</v>
      </c>
      <c r="CG72" s="108">
        <f t="shared" si="2"/>
        <v>0</v>
      </c>
      <c r="CH72" s="108">
        <f t="shared" si="2"/>
        <v>465</v>
      </c>
      <c r="CI72" s="108">
        <f t="shared" si="2"/>
        <v>0</v>
      </c>
      <c r="CJ72" s="108">
        <f t="shared" si="2"/>
        <v>0</v>
      </c>
      <c r="CK72" s="108">
        <f t="shared" si="2"/>
        <v>0</v>
      </c>
      <c r="CL72" s="138">
        <v>1</v>
      </c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</row>
    <row r="73" spans="1:129" ht="18.75">
      <c r="A73" s="7"/>
      <c r="B73" s="69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</row>
    <row r="74" spans="1:129" ht="18.75">
      <c r="A74" s="66"/>
      <c r="B74" s="114"/>
      <c r="C74" s="23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</row>
    <row r="75" spans="1:129" ht="18.75">
      <c r="A75" s="40"/>
      <c r="B75" s="23"/>
      <c r="C75" s="23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</row>
    <row r="76" spans="1:129" ht="18.75">
      <c r="A76" s="7" t="s">
        <v>180</v>
      </c>
      <c r="B76" s="8">
        <v>10</v>
      </c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</row>
    <row r="77" spans="1:129" ht="18.75">
      <c r="A77" s="7" t="s">
        <v>184</v>
      </c>
      <c r="B77" s="8">
        <v>1</v>
      </c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</row>
    <row r="78" spans="1:129" ht="18.75">
      <c r="A78" s="7" t="s">
        <v>130</v>
      </c>
      <c r="B78" s="8">
        <v>3</v>
      </c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</row>
    <row r="79" spans="1:129" ht="18.75">
      <c r="A79" s="7" t="s">
        <v>260</v>
      </c>
      <c r="B79" s="8">
        <v>1</v>
      </c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</row>
    <row r="80" spans="1:129" ht="37.5">
      <c r="A80" s="7" t="s">
        <v>4</v>
      </c>
      <c r="B80" s="8">
        <v>2</v>
      </c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</row>
    <row r="81" spans="1:129" ht="18.75">
      <c r="A81" s="7" t="s">
        <v>120</v>
      </c>
      <c r="B81" s="8">
        <v>1</v>
      </c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</row>
    <row r="82" spans="1:129" ht="18.75">
      <c r="A82" s="7" t="s">
        <v>211</v>
      </c>
      <c r="B82" s="8">
        <v>1</v>
      </c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</row>
    <row r="83" spans="1:129" ht="37.5">
      <c r="A83" s="7" t="s">
        <v>215</v>
      </c>
      <c r="B83" s="8">
        <v>10</v>
      </c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</row>
    <row r="84" spans="1:129" ht="18.75">
      <c r="A84" s="7" t="s">
        <v>132</v>
      </c>
      <c r="B84" s="8">
        <v>13</v>
      </c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</row>
    <row r="85" spans="1:129" ht="18.75">
      <c r="A85" s="7" t="s">
        <v>104</v>
      </c>
      <c r="B85" s="8">
        <v>2</v>
      </c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</row>
    <row r="86" spans="1:129" ht="18.75">
      <c r="A86" s="7" t="s">
        <v>213</v>
      </c>
      <c r="B86" s="8">
        <v>1</v>
      </c>
      <c r="C86" s="23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</row>
    <row r="87" spans="1:129" ht="18.75">
      <c r="A87" s="7" t="s">
        <v>258</v>
      </c>
      <c r="B87" s="8">
        <v>1</v>
      </c>
      <c r="C87" s="23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</row>
    <row r="88" spans="1:129" ht="37.5">
      <c r="A88" s="7" t="s">
        <v>259</v>
      </c>
      <c r="B88" s="8">
        <v>1</v>
      </c>
      <c r="C88" s="2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</row>
    <row r="89" spans="1:129" ht="18.75">
      <c r="A89" s="7" t="s">
        <v>257</v>
      </c>
      <c r="B89" s="8">
        <v>2</v>
      </c>
      <c r="C89" s="23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</row>
    <row r="90" spans="1:129" ht="26.25" customHeight="1">
      <c r="A90" s="7" t="s">
        <v>97</v>
      </c>
      <c r="B90" s="2">
        <v>20</v>
      </c>
      <c r="C90" s="23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20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</row>
    <row r="91" spans="1:129" ht="23.25" customHeight="1">
      <c r="A91" s="7" t="s">
        <v>169</v>
      </c>
      <c r="B91" s="2">
        <v>138</v>
      </c>
      <c r="C91" s="23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0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</row>
    <row r="92" spans="1:129" ht="35.25" customHeight="1">
      <c r="A92" s="7" t="s">
        <v>105</v>
      </c>
      <c r="B92" s="2">
        <v>54</v>
      </c>
      <c r="C92" s="23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20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</row>
    <row r="93" spans="1:129" ht="26.25" customHeight="1">
      <c r="A93" s="7" t="s">
        <v>52</v>
      </c>
      <c r="B93" s="2">
        <v>1</v>
      </c>
      <c r="C93" s="23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20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</row>
    <row r="94" spans="1:129" ht="26.25" customHeight="1">
      <c r="A94" s="7" t="s">
        <v>139</v>
      </c>
      <c r="B94" s="2">
        <v>1</v>
      </c>
      <c r="C94" s="23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20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</row>
    <row r="95" spans="1:129" ht="25.5" customHeight="1">
      <c r="A95" s="7" t="s">
        <v>214</v>
      </c>
      <c r="B95" s="2">
        <v>1</v>
      </c>
      <c r="C95" s="23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20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</row>
    <row r="96" spans="1:129" ht="25.5" customHeight="1">
      <c r="A96" s="7" t="s">
        <v>267</v>
      </c>
      <c r="B96" s="2">
        <v>1</v>
      </c>
      <c r="C96" s="23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20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</row>
    <row r="97" spans="1:129" ht="24" customHeight="1">
      <c r="A97" s="59" t="s">
        <v>170</v>
      </c>
      <c r="B97" s="2">
        <v>229</v>
      </c>
      <c r="C97" s="23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</row>
    <row r="98" spans="1:129" ht="33" customHeight="1">
      <c r="A98" s="59" t="s">
        <v>186</v>
      </c>
      <c r="B98" s="2">
        <v>8</v>
      </c>
      <c r="C98" s="23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</row>
    <row r="99" spans="1:129" ht="33" customHeight="1">
      <c r="A99" s="59" t="s">
        <v>212</v>
      </c>
      <c r="B99" s="2">
        <v>1</v>
      </c>
      <c r="C99" s="23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</row>
    <row r="100" spans="1:129" ht="22.5" customHeight="1">
      <c r="A100" s="59" t="s">
        <v>177</v>
      </c>
      <c r="B100" s="2">
        <v>20</v>
      </c>
      <c r="C100" s="23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</row>
    <row r="101" spans="1:129" ht="18.75">
      <c r="A101" s="59" t="s">
        <v>181</v>
      </c>
      <c r="B101" s="31">
        <v>465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</row>
    <row r="102" spans="1:129" ht="19.5">
      <c r="A102" s="4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</row>
    <row r="103" spans="1:129" ht="19.5">
      <c r="A103" s="4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</row>
    <row r="104" spans="1:129" ht="19.5">
      <c r="A104" s="4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</row>
    <row r="105" spans="1:129" ht="19.5">
      <c r="A105" s="40"/>
      <c r="B105" s="16"/>
      <c r="C105" s="45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</row>
    <row r="106" spans="1:129" ht="18.75">
      <c r="A106" s="40"/>
      <c r="B106" s="23"/>
      <c r="C106" s="4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15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</row>
    <row r="107" spans="1:129" ht="18.75">
      <c r="A107" s="40"/>
      <c r="B107" s="40"/>
      <c r="C107" s="4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15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</row>
    <row r="108" spans="1:129" ht="18.75">
      <c r="A108" s="40"/>
      <c r="B108" s="23"/>
      <c r="C108" s="4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15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</row>
    <row r="109" spans="1:129" ht="18.75">
      <c r="A109" s="40"/>
      <c r="B109" s="23"/>
      <c r="C109" s="4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20"/>
      <c r="CC109" s="6"/>
      <c r="CD109" s="6"/>
      <c r="CE109" s="6"/>
      <c r="CF109" s="6"/>
      <c r="CG109" s="6"/>
    </row>
    <row r="110" spans="1:129" ht="18.75">
      <c r="A110" s="40"/>
      <c r="B110" s="23"/>
      <c r="C110" s="46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</row>
    <row r="111" spans="1:129" ht="18.75">
      <c r="A111" s="61"/>
      <c r="B111" s="23"/>
      <c r="C111" s="23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</row>
    <row r="112" spans="1:129" ht="18.75">
      <c r="A112" s="61"/>
      <c r="B112" s="23"/>
      <c r="C112" s="47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</row>
    <row r="113" spans="1:85" ht="18.75">
      <c r="A113" s="40"/>
      <c r="B113" s="23"/>
      <c r="C113" s="47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</row>
    <row r="114" spans="1:85" ht="18.75">
      <c r="A114" s="21"/>
      <c r="B114" s="48"/>
      <c r="C114" s="48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</row>
    <row r="115" spans="1:85" ht="18.75">
      <c r="A115" s="21"/>
      <c r="B115" s="48"/>
      <c r="C115" s="48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</row>
    <row r="116" spans="1:85" ht="18.75">
      <c r="A116" s="21"/>
      <c r="B116" s="49"/>
      <c r="C116" s="48"/>
    </row>
    <row r="117" spans="1:85" ht="18.75">
      <c r="A117" s="21"/>
      <c r="B117" s="49"/>
      <c r="C117" s="49"/>
    </row>
    <row r="118" spans="1:85" ht="18.75">
      <c r="A118" s="21"/>
      <c r="B118" s="49"/>
      <c r="C118" s="49"/>
    </row>
    <row r="119" spans="1:85" ht="18.75">
      <c r="A119" s="21"/>
      <c r="B119" s="49"/>
      <c r="C119" s="49"/>
    </row>
    <row r="120" spans="1:85" ht="18.75">
      <c r="A120" s="21"/>
      <c r="B120" s="49"/>
      <c r="C120" s="49"/>
    </row>
    <row r="121" spans="1:85" ht="18.75">
      <c r="A121" s="21"/>
      <c r="B121" s="49"/>
      <c r="C121" s="49"/>
    </row>
    <row r="122" spans="1:85" ht="18.75">
      <c r="A122" s="21"/>
      <c r="B122" s="49"/>
      <c r="C122" s="49"/>
    </row>
    <row r="123" spans="1:85" ht="18.75">
      <c r="A123" s="21"/>
      <c r="B123" s="49"/>
      <c r="C123" s="49"/>
    </row>
    <row r="124" spans="1:85" ht="18.75">
      <c r="A124" s="21"/>
      <c r="B124" s="49"/>
      <c r="C124" s="49"/>
    </row>
    <row r="125" spans="1:85" ht="18.75">
      <c r="A125" s="21"/>
      <c r="B125" s="49"/>
      <c r="C125" s="49"/>
    </row>
    <row r="126" spans="1:85" ht="18.75">
      <c r="A126" s="21"/>
      <c r="B126" s="49"/>
      <c r="C126" s="49"/>
    </row>
    <row r="127" spans="1:85" ht="18.75">
      <c r="A127" s="21"/>
      <c r="B127" s="49"/>
      <c r="C127" s="49"/>
    </row>
    <row r="128" spans="1:85" ht="18.75">
      <c r="A128" s="21"/>
      <c r="B128" s="49"/>
      <c r="C128" s="49"/>
    </row>
    <row r="129" spans="1:3" ht="18.75">
      <c r="A129" s="21"/>
      <c r="B129" s="49"/>
      <c r="C129" s="49"/>
    </row>
    <row r="130" spans="1:3" ht="18.75">
      <c r="A130" s="21"/>
      <c r="B130" s="49"/>
      <c r="C130" s="49"/>
    </row>
    <row r="131" spans="1:3" ht="18.75">
      <c r="A131" s="21"/>
      <c r="B131" s="49"/>
      <c r="C131" s="49"/>
    </row>
    <row r="132" spans="1:3" ht="18.75">
      <c r="A132" s="21"/>
      <c r="B132" s="49"/>
      <c r="C132" s="49"/>
    </row>
    <row r="133" spans="1:3" ht="18.75">
      <c r="B133" s="50"/>
      <c r="C133" s="49"/>
    </row>
    <row r="134" spans="1:3" ht="18.75">
      <c r="C134" s="50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5"/>
  <sheetViews>
    <sheetView tabSelected="1" topLeftCell="B1" workbookViewId="0">
      <selection activeCell="P6" sqref="P6"/>
    </sheetView>
  </sheetViews>
  <sheetFormatPr defaultRowHeight="15"/>
  <cols>
    <col min="1" max="1" width="9.5703125" hidden="1" customWidth="1"/>
    <col min="2" max="2" width="24.28515625" style="38" customWidth="1"/>
    <col min="3" max="3" width="7.85546875" bestFit="1" customWidth="1"/>
    <col min="4" max="4" width="15.85546875" customWidth="1"/>
    <col min="5" max="5" width="6.85546875" bestFit="1" customWidth="1"/>
    <col min="6" max="6" width="11.42578125" bestFit="1" customWidth="1"/>
    <col min="7" max="7" width="13" hidden="1" customWidth="1"/>
    <col min="8" max="8" width="5.42578125" hidden="1" customWidth="1"/>
    <col min="9" max="9" width="6.85546875" hidden="1" customWidth="1"/>
    <col min="10" max="10" width="13" hidden="1" customWidth="1"/>
    <col min="11" max="11" width="6" bestFit="1" customWidth="1"/>
    <col min="12" max="12" width="6.85546875" bestFit="1" customWidth="1"/>
    <col min="13" max="13" width="13" bestFit="1" customWidth="1"/>
    <col min="14" max="14" width="6" bestFit="1" customWidth="1"/>
    <col min="15" max="15" width="9.140625" bestFit="1" customWidth="1"/>
    <col min="16" max="16" width="13" bestFit="1" customWidth="1"/>
    <col min="17" max="17" width="6" bestFit="1" customWidth="1"/>
    <col min="18" max="19" width="13" bestFit="1" customWidth="1"/>
    <col min="21" max="21" width="10.5703125" bestFit="1" customWidth="1"/>
  </cols>
  <sheetData>
    <row r="1" spans="1:21" ht="42.75">
      <c r="A1" s="34"/>
      <c r="B1" s="143">
        <v>46266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33"/>
      <c r="U1" s="33"/>
    </row>
    <row r="2" spans="1:21" ht="39">
      <c r="B2" s="78"/>
      <c r="C2" s="79"/>
      <c r="D2" s="58" t="s">
        <v>84</v>
      </c>
      <c r="E2" s="80"/>
      <c r="F2" s="80"/>
      <c r="G2" s="147" t="s">
        <v>13</v>
      </c>
      <c r="H2" s="148"/>
      <c r="I2" s="148"/>
      <c r="J2" s="149"/>
      <c r="K2" s="150" t="s">
        <v>14</v>
      </c>
      <c r="L2" s="151"/>
      <c r="M2" s="152"/>
      <c r="N2" s="153" t="s">
        <v>93</v>
      </c>
      <c r="O2" s="154"/>
      <c r="P2" s="155"/>
      <c r="Q2" s="144" t="s">
        <v>83</v>
      </c>
      <c r="R2" s="145"/>
      <c r="S2" s="146"/>
    </row>
    <row r="3" spans="1:21" ht="58.5">
      <c r="A3" s="18" t="s">
        <v>87</v>
      </c>
      <c r="B3" s="81" t="s">
        <v>15</v>
      </c>
      <c r="C3" s="81" t="s">
        <v>79</v>
      </c>
      <c r="D3" s="82" t="s">
        <v>16</v>
      </c>
      <c r="E3" s="81" t="s">
        <v>17</v>
      </c>
      <c r="F3" s="81" t="s">
        <v>18</v>
      </c>
      <c r="G3" s="81" t="s">
        <v>19</v>
      </c>
      <c r="H3" s="82" t="s">
        <v>16</v>
      </c>
      <c r="I3" s="81" t="s">
        <v>17</v>
      </c>
      <c r="J3" s="81" t="s">
        <v>18</v>
      </c>
      <c r="K3" s="82" t="s">
        <v>16</v>
      </c>
      <c r="L3" s="81" t="s">
        <v>17</v>
      </c>
      <c r="M3" s="81" t="s">
        <v>18</v>
      </c>
      <c r="N3" s="82" t="s">
        <v>16</v>
      </c>
      <c r="O3" s="81" t="s">
        <v>17</v>
      </c>
      <c r="P3" s="81" t="s">
        <v>18</v>
      </c>
      <c r="Q3" s="83" t="s">
        <v>16</v>
      </c>
      <c r="R3" s="84" t="s">
        <v>17</v>
      </c>
      <c r="S3" s="84" t="s">
        <v>18</v>
      </c>
    </row>
    <row r="4" spans="1:21" ht="39">
      <c r="A4" s="35">
        <v>2</v>
      </c>
      <c r="B4" s="81" t="s">
        <v>21</v>
      </c>
      <c r="C4" s="81" t="s">
        <v>80</v>
      </c>
      <c r="D4" s="128">
        <v>10</v>
      </c>
      <c r="E4" s="128">
        <v>2</v>
      </c>
      <c r="F4" s="128">
        <f t="shared" ref="F4:F25" si="0">E4*D4</f>
        <v>20</v>
      </c>
      <c r="G4" s="128"/>
      <c r="H4" s="128"/>
      <c r="I4" s="128"/>
      <c r="J4" s="128"/>
      <c r="K4" s="128">
        <v>10</v>
      </c>
      <c r="L4" s="128">
        <v>2</v>
      </c>
      <c r="M4" s="128">
        <f t="shared" ref="M4:M25" si="1">L4*K4</f>
        <v>20</v>
      </c>
      <c r="N4" s="96"/>
      <c r="O4" s="99"/>
      <c r="P4" s="99"/>
      <c r="Q4" s="86">
        <v>10</v>
      </c>
      <c r="R4" s="86">
        <v>2</v>
      </c>
      <c r="S4" s="86">
        <f t="shared" ref="S4:S8" si="2">R4*Q4</f>
        <v>20</v>
      </c>
    </row>
    <row r="5" spans="1:21" ht="39">
      <c r="A5" s="35">
        <v>3</v>
      </c>
      <c r="B5" s="81" t="s">
        <v>22</v>
      </c>
      <c r="C5" s="81" t="s">
        <v>80</v>
      </c>
      <c r="D5" s="128">
        <v>4</v>
      </c>
      <c r="E5" s="128">
        <v>3.5</v>
      </c>
      <c r="F5" s="128">
        <f t="shared" si="0"/>
        <v>14</v>
      </c>
      <c r="G5" s="128"/>
      <c r="H5" s="128"/>
      <c r="I5" s="128"/>
      <c r="J5" s="128"/>
      <c r="K5" s="128">
        <v>4</v>
      </c>
      <c r="L5" s="128">
        <v>3.5</v>
      </c>
      <c r="M5" s="128">
        <f t="shared" si="1"/>
        <v>14</v>
      </c>
      <c r="N5" s="96"/>
      <c r="O5" s="99"/>
      <c r="P5" s="99"/>
      <c r="Q5" s="86">
        <v>4</v>
      </c>
      <c r="R5" s="86">
        <v>3.5</v>
      </c>
      <c r="S5" s="86">
        <f t="shared" si="2"/>
        <v>14</v>
      </c>
    </row>
    <row r="6" spans="1:21" ht="39">
      <c r="A6" s="35">
        <v>4</v>
      </c>
      <c r="B6" s="81" t="s">
        <v>23</v>
      </c>
      <c r="C6" s="81" t="s">
        <v>80</v>
      </c>
      <c r="D6" s="128">
        <v>8</v>
      </c>
      <c r="E6" s="128">
        <v>4.5</v>
      </c>
      <c r="F6" s="128">
        <f t="shared" si="0"/>
        <v>36</v>
      </c>
      <c r="G6" s="128"/>
      <c r="H6" s="128"/>
      <c r="I6" s="128"/>
      <c r="J6" s="128"/>
      <c r="K6" s="128">
        <v>8</v>
      </c>
      <c r="L6" s="128">
        <v>4.5</v>
      </c>
      <c r="M6" s="128">
        <f t="shared" si="1"/>
        <v>36</v>
      </c>
      <c r="N6" s="96"/>
      <c r="O6" s="99"/>
      <c r="P6" s="99"/>
      <c r="Q6" s="86">
        <v>8</v>
      </c>
      <c r="R6" s="86">
        <v>4.5</v>
      </c>
      <c r="S6" s="86">
        <f t="shared" si="2"/>
        <v>36</v>
      </c>
    </row>
    <row r="7" spans="1:21" ht="19.5">
      <c r="A7" s="35">
        <v>5</v>
      </c>
      <c r="B7" s="81" t="s">
        <v>24</v>
      </c>
      <c r="C7" s="81" t="s">
        <v>80</v>
      </c>
      <c r="D7" s="128">
        <v>5</v>
      </c>
      <c r="E7" s="128">
        <v>7.5</v>
      </c>
      <c r="F7" s="128">
        <f t="shared" si="0"/>
        <v>37.5</v>
      </c>
      <c r="G7" s="128"/>
      <c r="H7" s="128"/>
      <c r="I7" s="128"/>
      <c r="J7" s="128"/>
      <c r="K7" s="128">
        <v>5</v>
      </c>
      <c r="L7" s="128">
        <v>7.5</v>
      </c>
      <c r="M7" s="128">
        <f t="shared" si="1"/>
        <v>37.5</v>
      </c>
      <c r="N7" s="96"/>
      <c r="O7" s="99"/>
      <c r="P7" s="99"/>
      <c r="Q7" s="86">
        <v>5</v>
      </c>
      <c r="R7" s="86">
        <v>7.5</v>
      </c>
      <c r="S7" s="86">
        <f t="shared" si="2"/>
        <v>37.5</v>
      </c>
    </row>
    <row r="8" spans="1:21" ht="19.5">
      <c r="A8" s="35">
        <v>12</v>
      </c>
      <c r="B8" s="81" t="s">
        <v>29</v>
      </c>
      <c r="C8" s="81" t="s">
        <v>81</v>
      </c>
      <c r="D8" s="128">
        <v>1</v>
      </c>
      <c r="E8" s="134">
        <v>155</v>
      </c>
      <c r="F8" s="128">
        <f t="shared" si="0"/>
        <v>155</v>
      </c>
      <c r="G8" s="128"/>
      <c r="H8" s="128"/>
      <c r="I8" s="128"/>
      <c r="J8" s="128"/>
      <c r="K8" s="128">
        <v>1</v>
      </c>
      <c r="L8" s="134">
        <v>155</v>
      </c>
      <c r="M8" s="128">
        <f t="shared" si="1"/>
        <v>155</v>
      </c>
      <c r="N8" s="96"/>
      <c r="O8" s="101"/>
      <c r="P8" s="99"/>
      <c r="Q8" s="86">
        <v>1</v>
      </c>
      <c r="R8" s="100">
        <v>155</v>
      </c>
      <c r="S8" s="86">
        <f t="shared" si="2"/>
        <v>155</v>
      </c>
    </row>
    <row r="9" spans="1:21" ht="19.5">
      <c r="A9" s="35"/>
      <c r="B9" s="81" t="s">
        <v>182</v>
      </c>
      <c r="C9" s="81" t="s">
        <v>80</v>
      </c>
      <c r="D9" s="128">
        <v>2</v>
      </c>
      <c r="E9" s="128">
        <v>15</v>
      </c>
      <c r="F9" s="128">
        <f t="shared" si="0"/>
        <v>30</v>
      </c>
      <c r="G9" s="128"/>
      <c r="H9" s="128"/>
      <c r="I9" s="128"/>
      <c r="J9" s="128"/>
      <c r="K9" s="128">
        <v>2</v>
      </c>
      <c r="L9" s="128">
        <v>15</v>
      </c>
      <c r="M9" s="128">
        <f t="shared" si="1"/>
        <v>30</v>
      </c>
      <c r="N9" s="96"/>
      <c r="O9" s="99"/>
      <c r="P9" s="99"/>
      <c r="Q9" s="86">
        <v>2</v>
      </c>
      <c r="R9" s="86">
        <v>15</v>
      </c>
      <c r="S9" s="86">
        <f t="shared" ref="S9:S16" si="3">R9*Q9</f>
        <v>30</v>
      </c>
    </row>
    <row r="10" spans="1:21" ht="19.5">
      <c r="A10" s="35"/>
      <c r="B10" s="81" t="s">
        <v>183</v>
      </c>
      <c r="C10" s="81" t="s">
        <v>80</v>
      </c>
      <c r="D10" s="128">
        <v>2</v>
      </c>
      <c r="E10" s="128">
        <v>10</v>
      </c>
      <c r="F10" s="128">
        <f t="shared" si="0"/>
        <v>20</v>
      </c>
      <c r="G10" s="128"/>
      <c r="H10" s="128"/>
      <c r="I10" s="128"/>
      <c r="J10" s="128"/>
      <c r="K10" s="128">
        <v>2</v>
      </c>
      <c r="L10" s="128">
        <v>10</v>
      </c>
      <c r="M10" s="128">
        <f t="shared" si="1"/>
        <v>20</v>
      </c>
      <c r="N10" s="96"/>
      <c r="O10" s="99"/>
      <c r="P10" s="99"/>
      <c r="Q10" s="86">
        <v>2</v>
      </c>
      <c r="R10" s="86">
        <v>10</v>
      </c>
      <c r="S10" s="86">
        <f t="shared" si="3"/>
        <v>20</v>
      </c>
    </row>
    <row r="11" spans="1:21" ht="19.5">
      <c r="A11" s="35">
        <v>20</v>
      </c>
      <c r="B11" s="81" t="s">
        <v>36</v>
      </c>
      <c r="C11" s="81" t="s">
        <v>80</v>
      </c>
      <c r="D11" s="128">
        <v>12</v>
      </c>
      <c r="E11" s="128">
        <v>90</v>
      </c>
      <c r="F11" s="128">
        <f t="shared" si="0"/>
        <v>1080</v>
      </c>
      <c r="G11" s="128"/>
      <c r="H11" s="128"/>
      <c r="I11" s="128"/>
      <c r="J11" s="128"/>
      <c r="K11" s="128">
        <v>12</v>
      </c>
      <c r="L11" s="128">
        <v>90</v>
      </c>
      <c r="M11" s="128">
        <f t="shared" si="1"/>
        <v>1080</v>
      </c>
      <c r="N11" s="96">
        <v>1</v>
      </c>
      <c r="O11" s="99">
        <v>90</v>
      </c>
      <c r="P11" s="99">
        <f>O11*N11</f>
        <v>90</v>
      </c>
      <c r="Q11" s="86">
        <v>11</v>
      </c>
      <c r="R11" s="86">
        <v>90</v>
      </c>
      <c r="S11" s="86">
        <f t="shared" si="3"/>
        <v>990</v>
      </c>
    </row>
    <row r="12" spans="1:21" ht="19.5">
      <c r="A12" s="35">
        <v>22</v>
      </c>
      <c r="B12" s="81" t="s">
        <v>7</v>
      </c>
      <c r="C12" s="81" t="s">
        <v>80</v>
      </c>
      <c r="D12" s="128">
        <v>2</v>
      </c>
      <c r="E12" s="128">
        <v>22</v>
      </c>
      <c r="F12" s="128">
        <f t="shared" si="0"/>
        <v>44</v>
      </c>
      <c r="G12" s="128"/>
      <c r="H12" s="128"/>
      <c r="I12" s="128"/>
      <c r="J12" s="128"/>
      <c r="K12" s="128">
        <v>2</v>
      </c>
      <c r="L12" s="128">
        <v>22</v>
      </c>
      <c r="M12" s="128">
        <f t="shared" si="1"/>
        <v>44</v>
      </c>
      <c r="N12" s="96"/>
      <c r="O12" s="99"/>
      <c r="P12" s="99"/>
      <c r="Q12" s="86">
        <v>2</v>
      </c>
      <c r="R12" s="86">
        <v>22</v>
      </c>
      <c r="S12" s="86">
        <f t="shared" si="3"/>
        <v>44</v>
      </c>
    </row>
    <row r="13" spans="1:21" ht="19.5">
      <c r="A13" s="35">
        <v>31</v>
      </c>
      <c r="B13" s="81" t="s">
        <v>44</v>
      </c>
      <c r="C13" s="81" t="s">
        <v>80</v>
      </c>
      <c r="D13" s="134">
        <v>1</v>
      </c>
      <c r="E13" s="134">
        <v>225</v>
      </c>
      <c r="F13" s="128">
        <f t="shared" si="0"/>
        <v>225</v>
      </c>
      <c r="G13" s="128"/>
      <c r="H13" s="128"/>
      <c r="I13" s="128"/>
      <c r="J13" s="128"/>
      <c r="K13" s="134">
        <v>1</v>
      </c>
      <c r="L13" s="134">
        <v>225</v>
      </c>
      <c r="M13" s="128">
        <f t="shared" si="1"/>
        <v>225</v>
      </c>
      <c r="N13" s="96"/>
      <c r="O13" s="99"/>
      <c r="P13" s="99"/>
      <c r="Q13" s="100">
        <v>1</v>
      </c>
      <c r="R13" s="100">
        <v>225</v>
      </c>
      <c r="S13" s="86">
        <f t="shared" si="3"/>
        <v>225</v>
      </c>
    </row>
    <row r="14" spans="1:21" ht="18.75" customHeight="1">
      <c r="A14" s="35">
        <v>36</v>
      </c>
      <c r="B14" s="81" t="s">
        <v>48</v>
      </c>
      <c r="C14" s="81" t="s">
        <v>80</v>
      </c>
      <c r="D14" s="128">
        <v>3</v>
      </c>
      <c r="E14" s="128">
        <v>22</v>
      </c>
      <c r="F14" s="128">
        <f t="shared" si="0"/>
        <v>66</v>
      </c>
      <c r="G14" s="128"/>
      <c r="H14" s="128"/>
      <c r="I14" s="128"/>
      <c r="J14" s="128"/>
      <c r="K14" s="128">
        <v>3</v>
      </c>
      <c r="L14" s="128">
        <v>22</v>
      </c>
      <c r="M14" s="128">
        <f t="shared" si="1"/>
        <v>66</v>
      </c>
      <c r="N14" s="96"/>
      <c r="O14" s="99"/>
      <c r="P14" s="99"/>
      <c r="Q14" s="86">
        <v>3</v>
      </c>
      <c r="R14" s="86">
        <v>22</v>
      </c>
      <c r="S14" s="86">
        <f t="shared" si="3"/>
        <v>66</v>
      </c>
    </row>
    <row r="15" spans="1:21" ht="19.5">
      <c r="A15" s="35"/>
      <c r="B15" s="81" t="s">
        <v>95</v>
      </c>
      <c r="C15" s="81" t="s">
        <v>80</v>
      </c>
      <c r="D15" s="128">
        <v>2</v>
      </c>
      <c r="E15" s="128">
        <v>40</v>
      </c>
      <c r="F15" s="128">
        <f t="shared" si="0"/>
        <v>80</v>
      </c>
      <c r="G15" s="128"/>
      <c r="H15" s="135"/>
      <c r="I15" s="128"/>
      <c r="J15" s="128"/>
      <c r="K15" s="128">
        <v>2</v>
      </c>
      <c r="L15" s="128">
        <v>40</v>
      </c>
      <c r="M15" s="128">
        <f t="shared" si="1"/>
        <v>80</v>
      </c>
      <c r="N15" s="99"/>
      <c r="O15" s="99"/>
      <c r="P15" s="99"/>
      <c r="Q15" s="86">
        <v>2</v>
      </c>
      <c r="R15" s="86">
        <v>40</v>
      </c>
      <c r="S15" s="86">
        <f t="shared" si="3"/>
        <v>80</v>
      </c>
    </row>
    <row r="16" spans="1:21" ht="18.75" customHeight="1">
      <c r="A16" s="35">
        <v>42</v>
      </c>
      <c r="B16" s="81" t="s">
        <v>51</v>
      </c>
      <c r="C16" s="81" t="s">
        <v>80</v>
      </c>
      <c r="D16" s="128">
        <v>13</v>
      </c>
      <c r="E16" s="128">
        <v>10</v>
      </c>
      <c r="F16" s="128">
        <f t="shared" si="0"/>
        <v>130</v>
      </c>
      <c r="G16" s="128"/>
      <c r="H16" s="128"/>
      <c r="I16" s="128"/>
      <c r="J16" s="128"/>
      <c r="K16" s="128">
        <v>13</v>
      </c>
      <c r="L16" s="128">
        <v>10</v>
      </c>
      <c r="M16" s="128">
        <f t="shared" si="1"/>
        <v>130</v>
      </c>
      <c r="N16" s="99"/>
      <c r="O16" s="99"/>
      <c r="P16" s="99"/>
      <c r="Q16" s="86">
        <v>13</v>
      </c>
      <c r="R16" s="86">
        <v>10</v>
      </c>
      <c r="S16" s="86">
        <f t="shared" si="3"/>
        <v>130</v>
      </c>
    </row>
    <row r="17" spans="1:21" ht="19.5">
      <c r="A17" s="35">
        <v>45</v>
      </c>
      <c r="B17" s="81" t="s">
        <v>53</v>
      </c>
      <c r="C17" s="81" t="s">
        <v>80</v>
      </c>
      <c r="D17" s="128">
        <v>10</v>
      </c>
      <c r="E17" s="128">
        <v>2.7</v>
      </c>
      <c r="F17" s="128">
        <f t="shared" si="0"/>
        <v>27</v>
      </c>
      <c r="G17" s="128"/>
      <c r="H17" s="128"/>
      <c r="I17" s="128"/>
      <c r="J17" s="128"/>
      <c r="K17" s="128">
        <v>10</v>
      </c>
      <c r="L17" s="128">
        <v>2.7</v>
      </c>
      <c r="M17" s="128">
        <f t="shared" si="1"/>
        <v>27</v>
      </c>
      <c r="N17" s="99"/>
      <c r="O17" s="99"/>
      <c r="P17" s="99"/>
      <c r="Q17" s="86">
        <v>10</v>
      </c>
      <c r="R17" s="86">
        <v>2.7</v>
      </c>
      <c r="S17" s="86">
        <f t="shared" ref="S17:S19" si="4">R17*Q17</f>
        <v>27</v>
      </c>
    </row>
    <row r="18" spans="1:21" ht="19.5">
      <c r="A18" s="35">
        <v>50</v>
      </c>
      <c r="B18" s="81" t="s">
        <v>56</v>
      </c>
      <c r="C18" s="81" t="s">
        <v>80</v>
      </c>
      <c r="D18" s="128">
        <v>14</v>
      </c>
      <c r="E18" s="128">
        <v>5.5</v>
      </c>
      <c r="F18" s="128">
        <f t="shared" si="0"/>
        <v>77</v>
      </c>
      <c r="G18" s="128"/>
      <c r="H18" s="128"/>
      <c r="I18" s="128"/>
      <c r="J18" s="128"/>
      <c r="K18" s="128">
        <v>14</v>
      </c>
      <c r="L18" s="128">
        <v>5.5</v>
      </c>
      <c r="M18" s="128">
        <f t="shared" si="1"/>
        <v>77</v>
      </c>
      <c r="N18" s="96"/>
      <c r="O18" s="99"/>
      <c r="P18" s="99"/>
      <c r="Q18" s="86">
        <v>14</v>
      </c>
      <c r="R18" s="86">
        <v>5.5</v>
      </c>
      <c r="S18" s="86">
        <f t="shared" si="4"/>
        <v>77</v>
      </c>
    </row>
    <row r="19" spans="1:21" ht="18.75" customHeight="1">
      <c r="A19" s="35">
        <v>51</v>
      </c>
      <c r="B19" s="81" t="s">
        <v>57</v>
      </c>
      <c r="C19" s="81" t="s">
        <v>80</v>
      </c>
      <c r="D19" s="128">
        <v>14</v>
      </c>
      <c r="E19" s="128">
        <v>9</v>
      </c>
      <c r="F19" s="128">
        <f t="shared" si="0"/>
        <v>126</v>
      </c>
      <c r="G19" s="128"/>
      <c r="H19" s="128"/>
      <c r="I19" s="128"/>
      <c r="J19" s="128"/>
      <c r="K19" s="128">
        <v>14</v>
      </c>
      <c r="L19" s="128">
        <v>9</v>
      </c>
      <c r="M19" s="128">
        <f t="shared" si="1"/>
        <v>126</v>
      </c>
      <c r="N19" s="96"/>
      <c r="O19" s="99"/>
      <c r="P19" s="99"/>
      <c r="Q19" s="86">
        <v>14</v>
      </c>
      <c r="R19" s="86">
        <v>9</v>
      </c>
      <c r="S19" s="86">
        <f t="shared" si="4"/>
        <v>126</v>
      </c>
    </row>
    <row r="20" spans="1:21" ht="39">
      <c r="A20" s="35">
        <v>61</v>
      </c>
      <c r="B20" s="81" t="s">
        <v>65</v>
      </c>
      <c r="C20" s="81" t="s">
        <v>80</v>
      </c>
      <c r="D20" s="128">
        <v>9</v>
      </c>
      <c r="E20" s="128">
        <v>25</v>
      </c>
      <c r="F20" s="128">
        <f t="shared" si="0"/>
        <v>225</v>
      </c>
      <c r="G20" s="128"/>
      <c r="H20" s="128"/>
      <c r="I20" s="128"/>
      <c r="J20" s="128"/>
      <c r="K20" s="128">
        <v>9</v>
      </c>
      <c r="L20" s="128">
        <v>25</v>
      </c>
      <c r="M20" s="128">
        <f t="shared" si="1"/>
        <v>225</v>
      </c>
      <c r="N20" s="99"/>
      <c r="O20" s="102"/>
      <c r="P20" s="99"/>
      <c r="Q20" s="86">
        <v>9</v>
      </c>
      <c r="R20" s="86">
        <v>25</v>
      </c>
      <c r="S20" s="86">
        <f t="shared" ref="S20:S25" si="5">R20*Q20</f>
        <v>225</v>
      </c>
    </row>
    <row r="21" spans="1:21" ht="18.75" customHeight="1">
      <c r="A21" s="35">
        <v>67</v>
      </c>
      <c r="B21" s="81" t="s">
        <v>185</v>
      </c>
      <c r="C21" s="81" t="s">
        <v>80</v>
      </c>
      <c r="D21" s="128">
        <v>2</v>
      </c>
      <c r="E21" s="128">
        <v>25</v>
      </c>
      <c r="F21" s="128">
        <f t="shared" si="0"/>
        <v>50</v>
      </c>
      <c r="G21" s="128"/>
      <c r="H21" s="128"/>
      <c r="I21" s="128"/>
      <c r="J21" s="128"/>
      <c r="K21" s="128">
        <v>2</v>
      </c>
      <c r="L21" s="128">
        <v>25</v>
      </c>
      <c r="M21" s="128">
        <f t="shared" si="1"/>
        <v>50</v>
      </c>
      <c r="N21" s="96">
        <v>1</v>
      </c>
      <c r="O21" s="99">
        <v>25</v>
      </c>
      <c r="P21" s="99">
        <f>O21*N21</f>
        <v>25</v>
      </c>
      <c r="Q21" s="86">
        <v>1</v>
      </c>
      <c r="R21" s="86">
        <v>25</v>
      </c>
      <c r="S21" s="86">
        <f t="shared" si="5"/>
        <v>25</v>
      </c>
    </row>
    <row r="22" spans="1:21" ht="19.5">
      <c r="A22" s="35">
        <v>68</v>
      </c>
      <c r="B22" s="81" t="s">
        <v>68</v>
      </c>
      <c r="C22" s="81" t="s">
        <v>80</v>
      </c>
      <c r="D22" s="134">
        <v>2</v>
      </c>
      <c r="E22" s="134">
        <v>55</v>
      </c>
      <c r="F22" s="128">
        <f t="shared" si="0"/>
        <v>110</v>
      </c>
      <c r="G22" s="128"/>
      <c r="H22" s="128"/>
      <c r="I22" s="128"/>
      <c r="J22" s="128"/>
      <c r="K22" s="134">
        <v>2</v>
      </c>
      <c r="L22" s="134">
        <v>55</v>
      </c>
      <c r="M22" s="128">
        <f t="shared" si="1"/>
        <v>110</v>
      </c>
      <c r="N22" s="96"/>
      <c r="O22" s="99"/>
      <c r="P22" s="99"/>
      <c r="Q22" s="100">
        <v>2</v>
      </c>
      <c r="R22" s="100">
        <v>55</v>
      </c>
      <c r="S22" s="86">
        <f t="shared" si="5"/>
        <v>110</v>
      </c>
    </row>
    <row r="23" spans="1:21" ht="19.5">
      <c r="A23" s="35">
        <v>69</v>
      </c>
      <c r="B23" s="81" t="s">
        <v>69</v>
      </c>
      <c r="C23" s="81" t="s">
        <v>80</v>
      </c>
      <c r="D23" s="128">
        <v>8</v>
      </c>
      <c r="E23" s="128">
        <v>13</v>
      </c>
      <c r="F23" s="128">
        <f t="shared" si="0"/>
        <v>104</v>
      </c>
      <c r="G23" s="128"/>
      <c r="H23" s="128"/>
      <c r="I23" s="128"/>
      <c r="J23" s="128"/>
      <c r="K23" s="128">
        <v>8</v>
      </c>
      <c r="L23" s="128">
        <v>13</v>
      </c>
      <c r="M23" s="128">
        <f t="shared" si="1"/>
        <v>104</v>
      </c>
      <c r="N23" s="96"/>
      <c r="O23" s="99"/>
      <c r="P23" s="99"/>
      <c r="Q23" s="86">
        <v>8</v>
      </c>
      <c r="R23" s="86">
        <v>13</v>
      </c>
      <c r="S23" s="86">
        <f t="shared" si="5"/>
        <v>104</v>
      </c>
    </row>
    <row r="24" spans="1:21" ht="19.5">
      <c r="A24" s="35">
        <v>81</v>
      </c>
      <c r="B24" s="103" t="s">
        <v>75</v>
      </c>
      <c r="C24" s="103" t="s">
        <v>80</v>
      </c>
      <c r="D24" s="136">
        <v>3</v>
      </c>
      <c r="E24" s="136">
        <v>59</v>
      </c>
      <c r="F24" s="128">
        <f t="shared" si="0"/>
        <v>177</v>
      </c>
      <c r="G24" s="128"/>
      <c r="H24" s="128"/>
      <c r="I24" s="128"/>
      <c r="J24" s="137"/>
      <c r="K24" s="136">
        <v>3</v>
      </c>
      <c r="L24" s="136">
        <v>59</v>
      </c>
      <c r="M24" s="128">
        <f t="shared" si="1"/>
        <v>177</v>
      </c>
      <c r="N24" s="96"/>
      <c r="O24" s="99"/>
      <c r="P24" s="99"/>
      <c r="Q24" s="104">
        <v>3</v>
      </c>
      <c r="R24" s="104">
        <v>59</v>
      </c>
      <c r="S24" s="86">
        <f t="shared" si="5"/>
        <v>177</v>
      </c>
    </row>
    <row r="25" spans="1:21" ht="18.75" customHeight="1">
      <c r="A25" s="55"/>
      <c r="B25" s="103" t="s">
        <v>112</v>
      </c>
      <c r="C25" s="103" t="s">
        <v>80</v>
      </c>
      <c r="D25" s="136">
        <v>1</v>
      </c>
      <c r="E25" s="136">
        <v>180</v>
      </c>
      <c r="F25" s="128">
        <f t="shared" si="0"/>
        <v>180</v>
      </c>
      <c r="G25" s="128"/>
      <c r="H25" s="135"/>
      <c r="I25" s="135"/>
      <c r="J25" s="135"/>
      <c r="K25" s="136">
        <v>1</v>
      </c>
      <c r="L25" s="136">
        <v>180</v>
      </c>
      <c r="M25" s="128">
        <f t="shared" si="1"/>
        <v>180</v>
      </c>
      <c r="N25" s="90"/>
      <c r="O25" s="90"/>
      <c r="P25" s="99"/>
      <c r="Q25" s="104">
        <v>1</v>
      </c>
      <c r="R25" s="104">
        <v>180</v>
      </c>
      <c r="S25" s="86">
        <f t="shared" si="5"/>
        <v>180</v>
      </c>
    </row>
    <row r="26" spans="1:21" ht="19.5">
      <c r="A26" s="36"/>
      <c r="B26" s="58" t="s">
        <v>14</v>
      </c>
      <c r="C26" s="97"/>
      <c r="D26" s="97"/>
      <c r="E26" s="97"/>
      <c r="F26" s="109">
        <f>SUM(F4:F25)</f>
        <v>3013.5</v>
      </c>
      <c r="G26" s="97"/>
      <c r="H26" s="97"/>
      <c r="I26" s="97"/>
      <c r="J26" s="80"/>
      <c r="K26" s="97"/>
      <c r="L26" s="97"/>
      <c r="M26" s="109">
        <f>SUM(M4:M25)</f>
        <v>3013.5</v>
      </c>
      <c r="N26" s="106"/>
      <c r="O26" s="106"/>
      <c r="P26" s="107">
        <f>SUM(P4:P25)</f>
        <v>115</v>
      </c>
      <c r="Q26" s="105"/>
      <c r="R26" s="105"/>
      <c r="S26" s="139">
        <f>SUM(S4:S25)</f>
        <v>2898.5</v>
      </c>
      <c r="U26" s="57"/>
    </row>
    <row r="28" spans="1:21" ht="18.75">
      <c r="B28" s="40"/>
      <c r="C28" s="15"/>
      <c r="F28" s="22"/>
      <c r="J28" s="22"/>
    </row>
    <row r="29" spans="1:21" ht="18.75">
      <c r="B29" s="40"/>
      <c r="C29" s="15"/>
      <c r="M29" s="22"/>
      <c r="S29" t="s">
        <v>12</v>
      </c>
    </row>
    <row r="30" spans="1:21" ht="18.75">
      <c r="B30" s="40"/>
      <c r="C30" s="15"/>
      <c r="F30" s="22"/>
      <c r="H30" s="22"/>
      <c r="M30" s="41"/>
    </row>
    <row r="31" spans="1:21" ht="18.75">
      <c r="B31" s="40"/>
      <c r="C31" s="15"/>
    </row>
    <row r="32" spans="1:21" ht="18.75">
      <c r="B32" s="40"/>
      <c r="C32" s="15"/>
      <c r="F32" s="22"/>
      <c r="M32" s="41"/>
    </row>
    <row r="33" spans="2:3" ht="18.75">
      <c r="B33" s="40"/>
      <c r="C33" s="15"/>
    </row>
    <row r="34" spans="2:3" ht="18.75">
      <c r="B34" s="40"/>
      <c r="C34" s="15"/>
    </row>
    <row r="35" spans="2:3" ht="18.75">
      <c r="B35" s="40"/>
      <c r="C35" s="15"/>
    </row>
    <row r="36" spans="2:3" ht="18.75">
      <c r="B36" s="40"/>
      <c r="C36" s="15"/>
    </row>
    <row r="37" spans="2:3" ht="18.75">
      <c r="B37" s="40"/>
      <c r="C37" s="15"/>
    </row>
    <row r="38" spans="2:3" ht="18.75">
      <c r="B38" s="40"/>
      <c r="C38" s="15"/>
    </row>
    <row r="39" spans="2:3" ht="18.75">
      <c r="B39" s="40"/>
      <c r="C39" s="15"/>
    </row>
    <row r="40" spans="2:3" ht="18.75">
      <c r="B40" s="40"/>
      <c r="C40" s="15"/>
    </row>
    <row r="41" spans="2:3" ht="18.75">
      <c r="B41" s="40"/>
      <c r="C41" s="15"/>
    </row>
    <row r="42" spans="2:3" ht="18.75">
      <c r="B42" s="40"/>
      <c r="C42" s="15"/>
    </row>
    <row r="43" spans="2:3" ht="18.75">
      <c r="B43" s="40"/>
      <c r="C43" s="15"/>
    </row>
    <row r="44" spans="2:3" ht="18.75">
      <c r="B44" s="40"/>
      <c r="C44" s="15"/>
    </row>
    <row r="45" spans="2:3" ht="18.75">
      <c r="B45" s="40"/>
      <c r="C45" s="15"/>
    </row>
    <row r="46" spans="2:3" ht="18.75">
      <c r="B46" s="40"/>
      <c r="C46" s="15"/>
    </row>
    <row r="47" spans="2:3" ht="18.75">
      <c r="B47" s="40"/>
      <c r="C47" s="15"/>
    </row>
    <row r="48" spans="2:3" ht="18.75">
      <c r="B48" s="40"/>
      <c r="C48" s="15"/>
    </row>
    <row r="49" spans="2:4" ht="18.75">
      <c r="B49" s="40"/>
      <c r="C49" s="15"/>
    </row>
    <row r="50" spans="2:4" ht="18.75">
      <c r="B50" s="40"/>
      <c r="C50" s="15"/>
    </row>
    <row r="51" spans="2:4" ht="18.75">
      <c r="B51" s="40"/>
      <c r="C51" s="15"/>
      <c r="D51" t="s">
        <v>115</v>
      </c>
    </row>
    <row r="52" spans="2:4" ht="18.75">
      <c r="B52" s="40"/>
      <c r="C52" s="15"/>
    </row>
    <row r="53" spans="2:4" ht="18.75" customHeight="1">
      <c r="B53" s="40"/>
      <c r="C53" s="15"/>
    </row>
    <row r="54" spans="2:4" ht="18.75">
      <c r="B54" s="40"/>
      <c r="C54" s="15"/>
    </row>
    <row r="55" spans="2:4" ht="18.75">
      <c r="B55" s="40"/>
      <c r="C55" s="15"/>
    </row>
    <row r="56" spans="2:4" ht="18.75">
      <c r="B56" s="40"/>
      <c r="C56" s="15"/>
    </row>
    <row r="57" spans="2:4" ht="18.75">
      <c r="C57" s="30"/>
    </row>
    <row r="58" spans="2:4" ht="18.75">
      <c r="C58" s="30"/>
    </row>
    <row r="59" spans="2:4" ht="18.75">
      <c r="C59" s="30"/>
    </row>
    <row r="60" spans="2:4" ht="18.75">
      <c r="C60" s="30"/>
    </row>
    <row r="61" spans="2:4" ht="18.75">
      <c r="C61" s="30"/>
    </row>
    <row r="62" spans="2:4" ht="18.75">
      <c r="C62" s="30"/>
    </row>
    <row r="63" spans="2:4" ht="18.75">
      <c r="C63" s="30"/>
    </row>
    <row r="64" spans="2:4" ht="18.75">
      <c r="C64" s="30"/>
    </row>
    <row r="65" spans="3:3" ht="18.75">
      <c r="C65" s="30"/>
    </row>
    <row r="66" spans="3:3" ht="18.75">
      <c r="C66" s="30"/>
    </row>
    <row r="67" spans="3:3" ht="18.75">
      <c r="C67" s="30"/>
    </row>
    <row r="68" spans="3:3" ht="18.75">
      <c r="C68" s="30"/>
    </row>
    <row r="69" spans="3:3" ht="18.75">
      <c r="C69" s="30"/>
    </row>
    <row r="70" spans="3:3" ht="18.75">
      <c r="C70" s="30"/>
    </row>
    <row r="71" spans="3:3" ht="18.75">
      <c r="C71" s="30"/>
    </row>
    <row r="72" spans="3:3" ht="18.75">
      <c r="C72" s="30"/>
    </row>
    <row r="73" spans="3:3" ht="18.75">
      <c r="C73" s="30"/>
    </row>
    <row r="74" spans="3:3" ht="18.75">
      <c r="C74" s="30"/>
    </row>
    <row r="75" spans="3:3" ht="18.75">
      <c r="C75" s="30"/>
    </row>
  </sheetData>
  <mergeCells count="5">
    <mergeCell ref="B1:S1"/>
    <mergeCell ref="Q2:S2"/>
    <mergeCell ref="G2:J2"/>
    <mergeCell ref="K2:M2"/>
    <mergeCell ref="N2:P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"/>
  <sheetViews>
    <sheetView zoomScale="115" zoomScaleNormal="115" workbookViewId="0">
      <selection activeCell="K13" sqref="K13"/>
    </sheetView>
  </sheetViews>
  <sheetFormatPr defaultRowHeight="15"/>
  <cols>
    <col min="1" max="1" width="26.28515625" style="38" bestFit="1" customWidth="1"/>
    <col min="5" max="5" width="13" bestFit="1" customWidth="1"/>
    <col min="6" max="6" width="5.5703125" style="71" bestFit="1" customWidth="1"/>
    <col min="7" max="7" width="7" style="71" bestFit="1" customWidth="1"/>
    <col min="8" max="8" width="13" style="71" bestFit="1" customWidth="1"/>
    <col min="9" max="9" width="5.5703125" style="71" bestFit="1" customWidth="1"/>
    <col min="10" max="10" width="7" bestFit="1" customWidth="1"/>
    <col min="11" max="11" width="13" bestFit="1" customWidth="1"/>
    <col min="12" max="12" width="5.5703125" bestFit="1" customWidth="1"/>
    <col min="13" max="14" width="13" bestFit="1" customWidth="1"/>
    <col min="15" max="15" width="15.5703125" customWidth="1"/>
  </cols>
  <sheetData>
    <row r="1" spans="1:15" ht="42.75">
      <c r="A1" s="156" t="s">
        <v>216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  <c r="O1" s="62"/>
    </row>
    <row r="2" spans="1:15" ht="18.75">
      <c r="A2" s="10"/>
      <c r="B2" s="37"/>
      <c r="C2" s="31" t="s">
        <v>84</v>
      </c>
      <c r="D2" s="31"/>
      <c r="E2" s="31"/>
      <c r="F2" s="159" t="s">
        <v>14</v>
      </c>
      <c r="G2" s="160"/>
      <c r="H2" s="161"/>
      <c r="I2" s="162" t="s">
        <v>93</v>
      </c>
      <c r="J2" s="163"/>
      <c r="K2" s="164"/>
      <c r="L2" s="165" t="s">
        <v>83</v>
      </c>
      <c r="M2" s="166"/>
      <c r="N2" s="167"/>
      <c r="O2" s="62"/>
    </row>
    <row r="3" spans="1:15" ht="37.5">
      <c r="A3" s="2" t="s">
        <v>15</v>
      </c>
      <c r="B3" s="2" t="s">
        <v>79</v>
      </c>
      <c r="C3" s="11" t="s">
        <v>16</v>
      </c>
      <c r="D3" s="2" t="s">
        <v>17</v>
      </c>
      <c r="E3" s="2" t="s">
        <v>18</v>
      </c>
      <c r="F3" s="70" t="s">
        <v>16</v>
      </c>
      <c r="G3" s="9" t="s">
        <v>17</v>
      </c>
      <c r="H3" s="9" t="s">
        <v>18</v>
      </c>
      <c r="I3" s="70" t="s">
        <v>16</v>
      </c>
      <c r="J3" s="2" t="s">
        <v>17</v>
      </c>
      <c r="K3" s="2" t="s">
        <v>18</v>
      </c>
      <c r="L3" s="12" t="s">
        <v>16</v>
      </c>
      <c r="M3" s="32" t="s">
        <v>17</v>
      </c>
      <c r="N3" s="32" t="s">
        <v>18</v>
      </c>
      <c r="O3" s="62"/>
    </row>
    <row r="4" spans="1:15" ht="18.75">
      <c r="A4" s="2"/>
      <c r="B4" s="2"/>
      <c r="C4" s="11"/>
      <c r="D4" s="2"/>
      <c r="E4" s="2"/>
      <c r="F4" s="70"/>
      <c r="G4" s="9"/>
      <c r="H4" s="9"/>
      <c r="I4" s="70"/>
      <c r="J4" s="2"/>
      <c r="K4" s="2"/>
      <c r="L4" s="12"/>
      <c r="M4" s="32"/>
      <c r="N4" s="32"/>
      <c r="O4" s="62"/>
    </row>
    <row r="5" spans="1:15" ht="18.75">
      <c r="A5" s="2" t="s">
        <v>104</v>
      </c>
      <c r="B5" s="2" t="s">
        <v>80</v>
      </c>
      <c r="C5" s="9">
        <v>3</v>
      </c>
      <c r="D5" s="9">
        <v>5</v>
      </c>
      <c r="E5" s="133">
        <f t="shared" ref="E5:E18" si="0">D5*C5</f>
        <v>15</v>
      </c>
      <c r="F5" s="9">
        <v>3</v>
      </c>
      <c r="G5" s="9">
        <v>5</v>
      </c>
      <c r="H5" s="133">
        <f t="shared" ref="H5:H18" si="1">G5*F5</f>
        <v>15</v>
      </c>
      <c r="I5" s="26">
        <v>2</v>
      </c>
      <c r="J5" s="27">
        <v>5</v>
      </c>
      <c r="K5" s="27">
        <v>10</v>
      </c>
      <c r="L5" s="25">
        <v>1</v>
      </c>
      <c r="M5" s="25">
        <v>5</v>
      </c>
      <c r="N5" s="54">
        <f t="shared" ref="N5:N13" si="2">M5*L5</f>
        <v>5</v>
      </c>
      <c r="O5" s="62"/>
    </row>
    <row r="6" spans="1:15" ht="18.75">
      <c r="A6" s="2" t="s">
        <v>108</v>
      </c>
      <c r="B6" s="2" t="s">
        <v>80</v>
      </c>
      <c r="C6" s="9">
        <v>3</v>
      </c>
      <c r="D6" s="9">
        <v>120</v>
      </c>
      <c r="E6" s="133">
        <f t="shared" si="0"/>
        <v>360</v>
      </c>
      <c r="F6" s="9">
        <v>3</v>
      </c>
      <c r="G6" s="9">
        <v>120</v>
      </c>
      <c r="H6" s="133">
        <f t="shared" si="1"/>
        <v>360</v>
      </c>
      <c r="I6" s="26"/>
      <c r="J6" s="27"/>
      <c r="K6" s="27"/>
      <c r="L6" s="25">
        <v>3</v>
      </c>
      <c r="M6" s="25">
        <v>120</v>
      </c>
      <c r="N6" s="54">
        <f t="shared" si="2"/>
        <v>360</v>
      </c>
      <c r="O6" s="62"/>
    </row>
    <row r="7" spans="1:15" ht="18.75">
      <c r="A7" s="2" t="s">
        <v>109</v>
      </c>
      <c r="B7" s="2" t="s">
        <v>80</v>
      </c>
      <c r="C7" s="9">
        <v>2</v>
      </c>
      <c r="D7" s="9">
        <v>18</v>
      </c>
      <c r="E7" s="133">
        <f t="shared" si="0"/>
        <v>36</v>
      </c>
      <c r="F7" s="9">
        <v>2</v>
      </c>
      <c r="G7" s="9">
        <v>18</v>
      </c>
      <c r="H7" s="133">
        <f t="shared" si="1"/>
        <v>36</v>
      </c>
      <c r="I7" s="26"/>
      <c r="J7" s="27"/>
      <c r="K7" s="27"/>
      <c r="L7" s="25">
        <v>2</v>
      </c>
      <c r="M7" s="25">
        <v>18</v>
      </c>
      <c r="N7" s="54">
        <f t="shared" si="2"/>
        <v>36</v>
      </c>
      <c r="O7" s="62"/>
    </row>
    <row r="8" spans="1:15" ht="18.75">
      <c r="A8" s="2" t="s">
        <v>110</v>
      </c>
      <c r="B8" s="2" t="s">
        <v>111</v>
      </c>
      <c r="C8" s="9">
        <v>1</v>
      </c>
      <c r="D8" s="9">
        <v>270</v>
      </c>
      <c r="E8" s="133">
        <f t="shared" si="0"/>
        <v>270</v>
      </c>
      <c r="F8" s="9">
        <v>1</v>
      </c>
      <c r="G8" s="9">
        <v>270</v>
      </c>
      <c r="H8" s="133">
        <f t="shared" si="1"/>
        <v>270</v>
      </c>
      <c r="I8" s="26"/>
      <c r="J8" s="27"/>
      <c r="K8" s="27"/>
      <c r="L8" s="25">
        <v>1</v>
      </c>
      <c r="M8" s="25">
        <v>270</v>
      </c>
      <c r="N8" s="54">
        <f t="shared" si="2"/>
        <v>270</v>
      </c>
      <c r="O8" s="62"/>
    </row>
    <row r="9" spans="1:15" ht="18.75">
      <c r="A9" s="2" t="s">
        <v>98</v>
      </c>
      <c r="B9" s="2" t="s">
        <v>80</v>
      </c>
      <c r="C9" s="9">
        <v>2</v>
      </c>
      <c r="D9" s="9">
        <v>58</v>
      </c>
      <c r="E9" s="133">
        <f t="shared" si="0"/>
        <v>116</v>
      </c>
      <c r="F9" s="9">
        <v>2</v>
      </c>
      <c r="G9" s="9">
        <v>58</v>
      </c>
      <c r="H9" s="133">
        <f t="shared" si="1"/>
        <v>116</v>
      </c>
      <c r="I9" s="26"/>
      <c r="J9" s="27"/>
      <c r="K9" s="27"/>
      <c r="L9" s="25">
        <v>2</v>
      </c>
      <c r="M9" s="25">
        <v>58</v>
      </c>
      <c r="N9" s="54">
        <f t="shared" si="2"/>
        <v>116</v>
      </c>
      <c r="O9" s="62"/>
    </row>
    <row r="10" spans="1:15" ht="18.75">
      <c r="A10" s="13" t="s">
        <v>73</v>
      </c>
      <c r="B10" s="13" t="s">
        <v>80</v>
      </c>
      <c r="C10" s="9">
        <v>1</v>
      </c>
      <c r="D10" s="9">
        <v>48</v>
      </c>
      <c r="E10" s="133">
        <f t="shared" si="0"/>
        <v>48</v>
      </c>
      <c r="F10" s="9">
        <v>1</v>
      </c>
      <c r="G10" s="9">
        <v>48</v>
      </c>
      <c r="H10" s="133">
        <f t="shared" si="1"/>
        <v>48</v>
      </c>
      <c r="I10" s="28"/>
      <c r="J10" s="28"/>
      <c r="K10" s="27"/>
      <c r="L10" s="25">
        <v>1</v>
      </c>
      <c r="M10" s="25">
        <v>48</v>
      </c>
      <c r="N10" s="54">
        <f t="shared" si="2"/>
        <v>48</v>
      </c>
      <c r="O10" s="62"/>
    </row>
    <row r="11" spans="1:15" ht="20.25" customHeight="1">
      <c r="A11" s="13" t="s">
        <v>121</v>
      </c>
      <c r="B11" s="13" t="s">
        <v>80</v>
      </c>
      <c r="C11" s="9">
        <v>1</v>
      </c>
      <c r="D11" s="9">
        <v>30</v>
      </c>
      <c r="E11" s="133">
        <f t="shared" si="0"/>
        <v>30</v>
      </c>
      <c r="F11" s="9">
        <v>1</v>
      </c>
      <c r="G11" s="9">
        <v>30</v>
      </c>
      <c r="H11" s="133">
        <f t="shared" si="1"/>
        <v>30</v>
      </c>
      <c r="I11" s="28"/>
      <c r="J11" s="28"/>
      <c r="K11" s="27"/>
      <c r="L11" s="25">
        <v>1</v>
      </c>
      <c r="M11" s="25">
        <v>30</v>
      </c>
      <c r="N11" s="54">
        <f t="shared" si="2"/>
        <v>30</v>
      </c>
      <c r="O11" s="62"/>
    </row>
    <row r="12" spans="1:15" ht="18.75">
      <c r="A12" s="13" t="s">
        <v>120</v>
      </c>
      <c r="B12" s="13" t="s">
        <v>80</v>
      </c>
      <c r="C12" s="9">
        <v>8</v>
      </c>
      <c r="D12" s="9">
        <v>20</v>
      </c>
      <c r="E12" s="133">
        <f t="shared" si="0"/>
        <v>160</v>
      </c>
      <c r="F12" s="9">
        <v>8</v>
      </c>
      <c r="G12" s="9">
        <v>20</v>
      </c>
      <c r="H12" s="133">
        <f t="shared" si="1"/>
        <v>160</v>
      </c>
      <c r="I12" s="28">
        <v>1</v>
      </c>
      <c r="J12" s="28">
        <v>20</v>
      </c>
      <c r="K12" s="27">
        <v>20</v>
      </c>
      <c r="L12" s="25">
        <v>7</v>
      </c>
      <c r="M12" s="25">
        <v>20</v>
      </c>
      <c r="N12" s="54">
        <f t="shared" si="2"/>
        <v>140</v>
      </c>
      <c r="O12" s="62"/>
    </row>
    <row r="13" spans="1:15" ht="18.75">
      <c r="A13" s="13" t="s">
        <v>106</v>
      </c>
      <c r="B13" s="13" t="s">
        <v>80</v>
      </c>
      <c r="C13" s="9">
        <v>8</v>
      </c>
      <c r="D13" s="9">
        <v>50</v>
      </c>
      <c r="E13" s="133">
        <f t="shared" si="0"/>
        <v>400</v>
      </c>
      <c r="F13" s="9">
        <v>8</v>
      </c>
      <c r="G13" s="9">
        <v>50</v>
      </c>
      <c r="H13" s="133">
        <f t="shared" si="1"/>
        <v>400</v>
      </c>
      <c r="I13" s="28"/>
      <c r="J13" s="28"/>
      <c r="K13" s="27"/>
      <c r="L13" s="25">
        <v>8</v>
      </c>
      <c r="M13" s="25">
        <v>50</v>
      </c>
      <c r="N13" s="54">
        <f t="shared" si="2"/>
        <v>400</v>
      </c>
      <c r="O13" s="62"/>
    </row>
    <row r="14" spans="1:15" ht="18.75">
      <c r="A14" s="13" t="s">
        <v>118</v>
      </c>
      <c r="B14" s="13" t="s">
        <v>80</v>
      </c>
      <c r="C14" s="9">
        <v>9</v>
      </c>
      <c r="D14" s="9">
        <v>40</v>
      </c>
      <c r="E14" s="133">
        <f t="shared" si="0"/>
        <v>360</v>
      </c>
      <c r="F14" s="9">
        <v>9</v>
      </c>
      <c r="G14" s="9">
        <v>40</v>
      </c>
      <c r="H14" s="133">
        <f t="shared" si="1"/>
        <v>360</v>
      </c>
      <c r="I14" s="28"/>
      <c r="J14" s="28"/>
      <c r="K14" s="27"/>
      <c r="L14" s="25">
        <v>9</v>
      </c>
      <c r="M14" s="25">
        <v>40</v>
      </c>
      <c r="N14" s="54">
        <f t="shared" ref="N14:N18" si="3">M14*L14</f>
        <v>360</v>
      </c>
      <c r="O14" s="62"/>
    </row>
    <row r="15" spans="1:15" ht="18.75">
      <c r="A15" s="13" t="s">
        <v>119</v>
      </c>
      <c r="B15" s="13" t="s">
        <v>80</v>
      </c>
      <c r="C15" s="9">
        <v>12</v>
      </c>
      <c r="D15" s="9">
        <v>45</v>
      </c>
      <c r="E15" s="133">
        <f t="shared" si="0"/>
        <v>540</v>
      </c>
      <c r="F15" s="9">
        <v>12</v>
      </c>
      <c r="G15" s="9">
        <v>45</v>
      </c>
      <c r="H15" s="133">
        <f t="shared" si="1"/>
        <v>540</v>
      </c>
      <c r="I15" s="28"/>
      <c r="J15" s="28"/>
      <c r="K15" s="27"/>
      <c r="L15" s="25">
        <v>12</v>
      </c>
      <c r="M15" s="25">
        <v>45</v>
      </c>
      <c r="N15" s="54">
        <f t="shared" si="3"/>
        <v>540</v>
      </c>
      <c r="O15" s="62"/>
    </row>
    <row r="16" spans="1:15" ht="18.75">
      <c r="A16" s="13" t="s">
        <v>125</v>
      </c>
      <c r="B16" s="13" t="s">
        <v>80</v>
      </c>
      <c r="C16" s="9">
        <v>32</v>
      </c>
      <c r="D16" s="9">
        <v>18</v>
      </c>
      <c r="E16" s="133">
        <f t="shared" si="0"/>
        <v>576</v>
      </c>
      <c r="F16" s="9">
        <v>32</v>
      </c>
      <c r="G16" s="9">
        <v>18</v>
      </c>
      <c r="H16" s="133">
        <f t="shared" si="1"/>
        <v>576</v>
      </c>
      <c r="I16" s="28"/>
      <c r="J16" s="28"/>
      <c r="K16" s="27"/>
      <c r="L16" s="25">
        <v>32</v>
      </c>
      <c r="M16" s="25">
        <v>18</v>
      </c>
      <c r="N16" s="54">
        <f t="shared" si="3"/>
        <v>576</v>
      </c>
      <c r="O16" s="62"/>
    </row>
    <row r="17" spans="1:15" ht="18.75">
      <c r="A17" s="13" t="s">
        <v>148</v>
      </c>
      <c r="B17" s="13" t="s">
        <v>80</v>
      </c>
      <c r="C17" s="9">
        <v>4</v>
      </c>
      <c r="D17" s="9">
        <v>200</v>
      </c>
      <c r="E17" s="133">
        <f t="shared" si="0"/>
        <v>800</v>
      </c>
      <c r="F17" s="9">
        <v>4</v>
      </c>
      <c r="G17" s="9">
        <v>200</v>
      </c>
      <c r="H17" s="133">
        <f t="shared" si="1"/>
        <v>800</v>
      </c>
      <c r="I17" s="28"/>
      <c r="J17" s="28"/>
      <c r="K17" s="27"/>
      <c r="L17" s="25">
        <v>4</v>
      </c>
      <c r="M17" s="25">
        <v>200</v>
      </c>
      <c r="N17" s="54">
        <f t="shared" si="3"/>
        <v>800</v>
      </c>
      <c r="O17" s="62"/>
    </row>
    <row r="18" spans="1:15" ht="18.75">
      <c r="A18" s="13" t="s">
        <v>127</v>
      </c>
      <c r="B18" s="13" t="s">
        <v>80</v>
      </c>
      <c r="C18" s="9">
        <v>5</v>
      </c>
      <c r="D18" s="9">
        <v>82</v>
      </c>
      <c r="E18" s="133">
        <f t="shared" si="0"/>
        <v>410</v>
      </c>
      <c r="F18" s="9">
        <v>5</v>
      </c>
      <c r="G18" s="9">
        <v>82</v>
      </c>
      <c r="H18" s="133">
        <f t="shared" si="1"/>
        <v>410</v>
      </c>
      <c r="I18" s="28"/>
      <c r="J18" s="28"/>
      <c r="K18" s="27"/>
      <c r="L18" s="25">
        <v>5</v>
      </c>
      <c r="M18" s="25">
        <v>82</v>
      </c>
      <c r="N18" s="54">
        <f t="shared" si="3"/>
        <v>410</v>
      </c>
      <c r="O18" s="62"/>
    </row>
    <row r="19" spans="1:15" ht="18.75">
      <c r="A19" s="8" t="s">
        <v>14</v>
      </c>
      <c r="B19" s="5"/>
      <c r="C19" s="52"/>
      <c r="D19" s="52"/>
      <c r="E19" s="19">
        <f>SUM(E5:E18)</f>
        <v>4121</v>
      </c>
      <c r="F19" s="52"/>
      <c r="G19" s="52"/>
      <c r="H19" s="19">
        <f>SUM(H5:H18)</f>
        <v>4121</v>
      </c>
      <c r="I19" s="52"/>
      <c r="J19" s="29"/>
      <c r="K19" s="110">
        <f>SUM(K4:K18)</f>
        <v>30</v>
      </c>
      <c r="L19" s="5"/>
      <c r="M19" s="5"/>
      <c r="N19" s="53">
        <f>SUM(N4:N18)</f>
        <v>4091</v>
      </c>
      <c r="O19" s="63"/>
    </row>
    <row r="20" spans="1:15">
      <c r="J20" s="60"/>
      <c r="N20" s="22"/>
    </row>
    <row r="22" spans="1:15">
      <c r="K22" s="22"/>
    </row>
    <row r="23" spans="1:15" ht="18.75">
      <c r="H23" s="72"/>
      <c r="K23" s="22"/>
    </row>
    <row r="24" spans="1:15" ht="18.75">
      <c r="H24" s="73"/>
      <c r="K24" s="22"/>
    </row>
    <row r="25" spans="1:15" ht="18.75">
      <c r="H25" s="74"/>
    </row>
  </sheetData>
  <mergeCells count="4">
    <mergeCell ref="A1:N1"/>
    <mergeCell ref="F2:H2"/>
    <mergeCell ref="I2:K2"/>
    <mergeCell ref="L2:N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R650"/>
  <sheetViews>
    <sheetView workbookViewId="0">
      <pane ySplit="2" topLeftCell="A42" activePane="bottomLeft" state="frozen"/>
      <selection activeCell="A2" sqref="A2"/>
      <selection pane="bottomLeft" activeCell="M73" sqref="M73"/>
    </sheetView>
  </sheetViews>
  <sheetFormatPr defaultRowHeight="15"/>
  <cols>
    <col min="1" max="1" width="36" bestFit="1" customWidth="1"/>
    <col min="5" max="5" width="13" bestFit="1" customWidth="1"/>
    <col min="6" max="6" width="8.140625" bestFit="1" customWidth="1"/>
    <col min="7" max="7" width="6" bestFit="1" customWidth="1"/>
    <col min="8" max="8" width="10.7109375" bestFit="1" customWidth="1"/>
    <col min="10" max="11" width="7.5703125" bestFit="1" customWidth="1"/>
    <col min="12" max="12" width="13" bestFit="1" customWidth="1"/>
    <col min="14" max="14" width="7.5703125" bestFit="1" customWidth="1"/>
    <col min="15" max="15" width="10.7109375" bestFit="1" customWidth="1"/>
    <col min="16" max="16" width="6" bestFit="1" customWidth="1"/>
    <col min="17" max="18" width="13" bestFit="1" customWidth="1"/>
  </cols>
  <sheetData>
    <row r="1" spans="1:18" ht="42.75">
      <c r="A1" s="168" t="s">
        <v>217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</row>
    <row r="2" spans="1:18" ht="19.5">
      <c r="A2" s="78"/>
      <c r="B2" s="79"/>
      <c r="C2" s="80" t="s">
        <v>84</v>
      </c>
      <c r="D2" s="80"/>
      <c r="E2" s="80"/>
      <c r="F2" s="147" t="s">
        <v>13</v>
      </c>
      <c r="G2" s="148"/>
      <c r="H2" s="148"/>
      <c r="I2" s="149"/>
      <c r="J2" s="150" t="s">
        <v>14</v>
      </c>
      <c r="K2" s="151"/>
      <c r="L2" s="152"/>
      <c r="M2" s="153" t="s">
        <v>93</v>
      </c>
      <c r="N2" s="154"/>
      <c r="O2" s="155"/>
      <c r="P2" s="144" t="s">
        <v>83</v>
      </c>
      <c r="Q2" s="145"/>
      <c r="R2" s="146"/>
    </row>
    <row r="3" spans="1:18" ht="58.5">
      <c r="A3" s="81" t="s">
        <v>15</v>
      </c>
      <c r="B3" s="81" t="s">
        <v>79</v>
      </c>
      <c r="C3" s="82" t="s">
        <v>16</v>
      </c>
      <c r="D3" s="81" t="s">
        <v>17</v>
      </c>
      <c r="E3" s="81" t="s">
        <v>18</v>
      </c>
      <c r="F3" s="81" t="s">
        <v>19</v>
      </c>
      <c r="G3" s="82" t="s">
        <v>16</v>
      </c>
      <c r="H3" s="81" t="s">
        <v>17</v>
      </c>
      <c r="I3" s="81" t="s">
        <v>18</v>
      </c>
      <c r="J3" s="82" t="s">
        <v>16</v>
      </c>
      <c r="K3" s="81" t="s">
        <v>17</v>
      </c>
      <c r="L3" s="81" t="s">
        <v>18</v>
      </c>
      <c r="M3" s="82" t="s">
        <v>16</v>
      </c>
      <c r="N3" s="81" t="s">
        <v>17</v>
      </c>
      <c r="O3" s="81" t="s">
        <v>18</v>
      </c>
      <c r="P3" s="83" t="s">
        <v>16</v>
      </c>
      <c r="Q3" s="84" t="s">
        <v>17</v>
      </c>
      <c r="R3" s="84" t="s">
        <v>18</v>
      </c>
    </row>
    <row r="4" spans="1:18" ht="19.5">
      <c r="A4" s="85" t="s">
        <v>100</v>
      </c>
      <c r="B4" s="85" t="s">
        <v>82</v>
      </c>
      <c r="C4" s="86">
        <v>600</v>
      </c>
      <c r="D4" s="86">
        <v>2.85</v>
      </c>
      <c r="E4" s="87">
        <f t="shared" ref="E4" si="0">D4*C4</f>
        <v>1710</v>
      </c>
      <c r="F4" s="88"/>
      <c r="G4" s="88"/>
      <c r="H4" s="88"/>
      <c r="I4" s="89"/>
      <c r="J4" s="86">
        <v>600</v>
      </c>
      <c r="K4" s="86">
        <v>2.85</v>
      </c>
      <c r="L4" s="87">
        <f t="shared" ref="L4" si="1">K4*J4</f>
        <v>1710</v>
      </c>
      <c r="M4" s="90">
        <v>200</v>
      </c>
      <c r="N4" s="91">
        <v>2.85</v>
      </c>
      <c r="O4" s="92">
        <v>570</v>
      </c>
      <c r="P4" s="86">
        <v>400</v>
      </c>
      <c r="Q4" s="86">
        <v>2.85</v>
      </c>
      <c r="R4" s="87">
        <f t="shared" ref="R4" si="2">Q4*P4</f>
        <v>1140</v>
      </c>
    </row>
    <row r="5" spans="1:18" ht="19.5">
      <c r="A5" s="85" t="s">
        <v>137</v>
      </c>
      <c r="B5" s="85" t="s">
        <v>80</v>
      </c>
      <c r="C5" s="86">
        <v>6</v>
      </c>
      <c r="D5" s="86">
        <v>65</v>
      </c>
      <c r="E5" s="87">
        <f>D5*C5</f>
        <v>390</v>
      </c>
      <c r="F5" s="88">
        <v>815</v>
      </c>
      <c r="G5" s="88">
        <v>12</v>
      </c>
      <c r="H5" s="88">
        <v>65</v>
      </c>
      <c r="I5" s="89">
        <f>H5*G5</f>
        <v>780</v>
      </c>
      <c r="J5" s="86">
        <v>18</v>
      </c>
      <c r="K5" s="86">
        <v>65</v>
      </c>
      <c r="L5" s="87">
        <f>K5*J5</f>
        <v>1170</v>
      </c>
      <c r="M5" s="90">
        <v>10</v>
      </c>
      <c r="N5" s="91">
        <v>65</v>
      </c>
      <c r="O5" s="92">
        <f>N5*M5</f>
        <v>650</v>
      </c>
      <c r="P5" s="86">
        <v>8</v>
      </c>
      <c r="Q5" s="86">
        <v>65</v>
      </c>
      <c r="R5" s="87">
        <f>Q5*P5</f>
        <v>520</v>
      </c>
    </row>
    <row r="6" spans="1:18" ht="19.5">
      <c r="A6" s="85" t="s">
        <v>179</v>
      </c>
      <c r="B6" s="85" t="s">
        <v>80</v>
      </c>
      <c r="C6" s="86">
        <v>1</v>
      </c>
      <c r="D6" s="86">
        <v>466</v>
      </c>
      <c r="E6" s="87">
        <f>D6*C6</f>
        <v>466</v>
      </c>
      <c r="F6" s="88"/>
      <c r="G6" s="88"/>
      <c r="H6" s="88"/>
      <c r="I6" s="89"/>
      <c r="J6" s="86">
        <v>1</v>
      </c>
      <c r="K6" s="86">
        <v>466</v>
      </c>
      <c r="L6" s="87">
        <f>K6*J6</f>
        <v>466</v>
      </c>
      <c r="M6" s="90"/>
      <c r="N6" s="91"/>
      <c r="O6" s="92"/>
      <c r="P6" s="86">
        <v>1</v>
      </c>
      <c r="Q6" s="86">
        <v>466</v>
      </c>
      <c r="R6" s="87">
        <f>Q6*P6</f>
        <v>466</v>
      </c>
    </row>
    <row r="7" spans="1:18" ht="19.5">
      <c r="A7" s="85" t="s">
        <v>4</v>
      </c>
      <c r="B7" s="85" t="s">
        <v>80</v>
      </c>
      <c r="C7" s="86">
        <v>8</v>
      </c>
      <c r="D7" s="86">
        <v>23</v>
      </c>
      <c r="E7" s="87">
        <f>D7*C7</f>
        <v>184</v>
      </c>
      <c r="F7" s="88"/>
      <c r="G7" s="88"/>
      <c r="H7" s="88"/>
      <c r="I7" s="89"/>
      <c r="J7" s="86">
        <v>8</v>
      </c>
      <c r="K7" s="86">
        <v>23</v>
      </c>
      <c r="L7" s="87">
        <f>K7*J7</f>
        <v>184</v>
      </c>
      <c r="M7" s="90">
        <v>2</v>
      </c>
      <c r="N7" s="91">
        <v>23</v>
      </c>
      <c r="O7" s="92">
        <v>46</v>
      </c>
      <c r="P7" s="86">
        <v>6</v>
      </c>
      <c r="Q7" s="86">
        <v>23</v>
      </c>
      <c r="R7" s="87">
        <f>Q7*P7</f>
        <v>138</v>
      </c>
    </row>
    <row r="8" spans="1:18" ht="19.5">
      <c r="A8" s="85" t="s">
        <v>191</v>
      </c>
      <c r="B8" s="85" t="s">
        <v>80</v>
      </c>
      <c r="C8" s="86">
        <v>20</v>
      </c>
      <c r="D8" s="86">
        <v>9.1999999999999993</v>
      </c>
      <c r="E8" s="87">
        <f>D8*C8</f>
        <v>184</v>
      </c>
      <c r="F8" s="88"/>
      <c r="G8" s="88"/>
      <c r="H8" s="88"/>
      <c r="I8" s="89"/>
      <c r="J8" s="86">
        <v>20</v>
      </c>
      <c r="K8" s="86">
        <v>9.1999999999999993</v>
      </c>
      <c r="L8" s="87">
        <f>K8*J8</f>
        <v>184</v>
      </c>
      <c r="M8" s="90"/>
      <c r="N8" s="91"/>
      <c r="O8" s="92"/>
      <c r="P8" s="86">
        <v>20</v>
      </c>
      <c r="Q8" s="86">
        <v>9.1999999999999993</v>
      </c>
      <c r="R8" s="87">
        <f>Q8*P8</f>
        <v>184</v>
      </c>
    </row>
    <row r="9" spans="1:18" ht="19.5">
      <c r="A9" s="85" t="s">
        <v>97</v>
      </c>
      <c r="B9" s="85" t="s">
        <v>80</v>
      </c>
      <c r="C9" s="86">
        <v>7</v>
      </c>
      <c r="D9" s="86">
        <v>210</v>
      </c>
      <c r="E9" s="87">
        <f>D9*C9</f>
        <v>1470</v>
      </c>
      <c r="F9" s="88">
        <v>815</v>
      </c>
      <c r="G9" s="88">
        <v>20</v>
      </c>
      <c r="H9" s="88">
        <v>210</v>
      </c>
      <c r="I9" s="89">
        <f>H9*G9</f>
        <v>4200</v>
      </c>
      <c r="J9" s="86">
        <v>27</v>
      </c>
      <c r="K9" s="86">
        <v>210</v>
      </c>
      <c r="L9" s="87">
        <f>K9*J9</f>
        <v>5670</v>
      </c>
      <c r="M9" s="96">
        <v>20</v>
      </c>
      <c r="N9" s="91">
        <v>210</v>
      </c>
      <c r="O9" s="99">
        <f>N9*M9</f>
        <v>4200</v>
      </c>
      <c r="P9" s="86">
        <v>7</v>
      </c>
      <c r="Q9" s="86">
        <v>210</v>
      </c>
      <c r="R9" s="87">
        <f>Q9*P9</f>
        <v>1470</v>
      </c>
    </row>
    <row r="10" spans="1:18" ht="19.5">
      <c r="A10" s="84" t="s">
        <v>141</v>
      </c>
      <c r="B10" s="85" t="s">
        <v>82</v>
      </c>
      <c r="C10" s="93">
        <v>182</v>
      </c>
      <c r="D10" s="93">
        <v>4.5</v>
      </c>
      <c r="E10" s="93">
        <f t="shared" ref="E10:E12" si="3">D10*C10</f>
        <v>819</v>
      </c>
      <c r="F10" s="94">
        <v>835</v>
      </c>
      <c r="G10" s="95">
        <v>500</v>
      </c>
      <c r="H10" s="95">
        <v>4.5</v>
      </c>
      <c r="I10" s="95">
        <f>H10*G10</f>
        <v>2250</v>
      </c>
      <c r="J10" s="93">
        <v>682</v>
      </c>
      <c r="K10" s="93">
        <v>4.5</v>
      </c>
      <c r="L10" s="93">
        <f t="shared" ref="L10:L12" si="4">K10*J10</f>
        <v>3069</v>
      </c>
      <c r="M10" s="90">
        <v>138</v>
      </c>
      <c r="N10" s="96">
        <v>4.5</v>
      </c>
      <c r="O10" s="96">
        <f>N10*M10</f>
        <v>621</v>
      </c>
      <c r="P10" s="93">
        <v>544</v>
      </c>
      <c r="Q10" s="93">
        <v>4.5</v>
      </c>
      <c r="R10" s="93">
        <f t="shared" ref="R10:R14" si="5">Q10*P10</f>
        <v>2448</v>
      </c>
    </row>
    <row r="11" spans="1:18" ht="19.5">
      <c r="A11" s="84" t="s">
        <v>150</v>
      </c>
      <c r="B11" s="85" t="s">
        <v>82</v>
      </c>
      <c r="C11" s="93">
        <v>21</v>
      </c>
      <c r="D11" s="93">
        <v>9</v>
      </c>
      <c r="E11" s="93">
        <f t="shared" si="3"/>
        <v>189</v>
      </c>
      <c r="F11" s="94"/>
      <c r="G11" s="95"/>
      <c r="H11" s="95"/>
      <c r="I11" s="95"/>
      <c r="J11" s="93">
        <v>21</v>
      </c>
      <c r="K11" s="93">
        <v>9</v>
      </c>
      <c r="L11" s="93">
        <f t="shared" si="4"/>
        <v>189</v>
      </c>
      <c r="M11" s="90">
        <v>1</v>
      </c>
      <c r="N11" s="96">
        <v>9</v>
      </c>
      <c r="O11" s="96">
        <v>9</v>
      </c>
      <c r="P11" s="93">
        <v>20</v>
      </c>
      <c r="Q11" s="93">
        <v>9</v>
      </c>
      <c r="R11" s="93">
        <f t="shared" si="5"/>
        <v>180</v>
      </c>
    </row>
    <row r="12" spans="1:18" ht="19.5">
      <c r="A12" s="84" t="s">
        <v>152</v>
      </c>
      <c r="B12" s="85" t="s">
        <v>80</v>
      </c>
      <c r="C12" s="93">
        <v>0</v>
      </c>
      <c r="D12" s="93">
        <v>16.5</v>
      </c>
      <c r="E12" s="93">
        <f t="shared" si="3"/>
        <v>0</v>
      </c>
      <c r="F12" s="94">
        <v>815</v>
      </c>
      <c r="G12" s="95">
        <v>20</v>
      </c>
      <c r="H12" s="95">
        <v>16.5</v>
      </c>
      <c r="I12" s="95">
        <f>H12*G12</f>
        <v>330</v>
      </c>
      <c r="J12" s="93">
        <v>20</v>
      </c>
      <c r="K12" s="93">
        <v>16.5</v>
      </c>
      <c r="L12" s="93">
        <f t="shared" si="4"/>
        <v>330</v>
      </c>
      <c r="M12" s="90"/>
      <c r="N12" s="96"/>
      <c r="O12" s="96"/>
      <c r="P12" s="93">
        <v>20</v>
      </c>
      <c r="Q12" s="93">
        <v>16.5</v>
      </c>
      <c r="R12" s="93">
        <f t="shared" si="5"/>
        <v>330</v>
      </c>
    </row>
    <row r="13" spans="1:18" ht="19.5">
      <c r="A13" s="84" t="s">
        <v>171</v>
      </c>
      <c r="B13" s="85" t="s">
        <v>80</v>
      </c>
      <c r="C13" s="93">
        <v>175</v>
      </c>
      <c r="D13" s="93">
        <v>0.74</v>
      </c>
      <c r="E13" s="93">
        <v>129.5</v>
      </c>
      <c r="F13" s="94"/>
      <c r="G13" s="95"/>
      <c r="H13" s="95"/>
      <c r="I13" s="95"/>
      <c r="J13" s="93">
        <v>175</v>
      </c>
      <c r="K13" s="93">
        <v>0.74</v>
      </c>
      <c r="L13" s="93">
        <v>129.5</v>
      </c>
      <c r="M13" s="90">
        <v>10</v>
      </c>
      <c r="N13" s="96">
        <v>0.74</v>
      </c>
      <c r="O13" s="96">
        <v>7.4</v>
      </c>
      <c r="P13" s="93">
        <v>165</v>
      </c>
      <c r="Q13" s="93">
        <v>0.74</v>
      </c>
      <c r="R13" s="93">
        <v>122.1</v>
      </c>
    </row>
    <row r="14" spans="1:18" ht="19.5">
      <c r="A14" s="84" t="s">
        <v>147</v>
      </c>
      <c r="B14" s="85" t="s">
        <v>80</v>
      </c>
      <c r="C14" s="93">
        <v>21</v>
      </c>
      <c r="D14" s="93">
        <v>22</v>
      </c>
      <c r="E14" s="93">
        <f t="shared" ref="E14:E30" si="6">D14*C14</f>
        <v>462</v>
      </c>
      <c r="F14" s="95"/>
      <c r="G14" s="95"/>
      <c r="H14" s="95"/>
      <c r="I14" s="95"/>
      <c r="J14" s="93">
        <v>21</v>
      </c>
      <c r="K14" s="93">
        <v>22</v>
      </c>
      <c r="L14" s="93">
        <f t="shared" ref="L14:L30" si="7">K14*J14</f>
        <v>462</v>
      </c>
      <c r="M14" s="90">
        <v>20</v>
      </c>
      <c r="N14" s="96">
        <v>22</v>
      </c>
      <c r="O14" s="96">
        <v>440</v>
      </c>
      <c r="P14" s="93">
        <v>1</v>
      </c>
      <c r="Q14" s="93">
        <v>22</v>
      </c>
      <c r="R14" s="93">
        <f t="shared" si="5"/>
        <v>22</v>
      </c>
    </row>
    <row r="15" spans="1:18" ht="19.5">
      <c r="A15" s="84" t="s">
        <v>270</v>
      </c>
      <c r="B15" s="84" t="s">
        <v>80</v>
      </c>
      <c r="C15" s="93"/>
      <c r="D15" s="93"/>
      <c r="E15" s="93"/>
      <c r="F15" s="116">
        <v>835</v>
      </c>
      <c r="G15" s="116">
        <v>1</v>
      </c>
      <c r="H15" s="116">
        <v>295</v>
      </c>
      <c r="I15" s="116">
        <f>H15*G15</f>
        <v>295</v>
      </c>
      <c r="J15" s="93">
        <v>1</v>
      </c>
      <c r="K15" s="93">
        <v>295</v>
      </c>
      <c r="L15" s="93">
        <f t="shared" si="7"/>
        <v>295</v>
      </c>
      <c r="M15" s="90"/>
      <c r="N15" s="96"/>
      <c r="O15" s="96"/>
      <c r="P15" s="93">
        <v>1</v>
      </c>
      <c r="Q15" s="93">
        <v>295</v>
      </c>
      <c r="R15" s="93">
        <f t="shared" ref="R15:R23" si="8">Q15*P15</f>
        <v>295</v>
      </c>
    </row>
    <row r="16" spans="1:18" ht="19.5">
      <c r="A16" s="84" t="s">
        <v>189</v>
      </c>
      <c r="B16" s="84" t="s">
        <v>80</v>
      </c>
      <c r="C16" s="93">
        <v>1</v>
      </c>
      <c r="D16" s="93">
        <v>315</v>
      </c>
      <c r="E16" s="93">
        <f t="shared" si="6"/>
        <v>315</v>
      </c>
      <c r="F16" s="116"/>
      <c r="G16" s="116"/>
      <c r="H16" s="116"/>
      <c r="I16" s="116"/>
      <c r="J16" s="93">
        <v>1</v>
      </c>
      <c r="K16" s="93">
        <v>315</v>
      </c>
      <c r="L16" s="93">
        <f t="shared" si="7"/>
        <v>315</v>
      </c>
      <c r="M16" s="90"/>
      <c r="N16" s="96"/>
      <c r="O16" s="96"/>
      <c r="P16" s="93">
        <v>1</v>
      </c>
      <c r="Q16" s="93">
        <v>315</v>
      </c>
      <c r="R16" s="93">
        <f t="shared" si="8"/>
        <v>315</v>
      </c>
    </row>
    <row r="17" spans="1:18" ht="19.5">
      <c r="A17" s="84" t="s">
        <v>128</v>
      </c>
      <c r="B17" s="84" t="s">
        <v>80</v>
      </c>
      <c r="C17" s="93">
        <v>2</v>
      </c>
      <c r="D17" s="93">
        <v>98</v>
      </c>
      <c r="E17" s="93">
        <f t="shared" si="6"/>
        <v>196</v>
      </c>
      <c r="F17" s="95">
        <v>835</v>
      </c>
      <c r="G17" s="95">
        <v>6</v>
      </c>
      <c r="H17" s="95">
        <v>98</v>
      </c>
      <c r="I17" s="95">
        <f>H17*G17</f>
        <v>588</v>
      </c>
      <c r="J17" s="93">
        <v>8</v>
      </c>
      <c r="K17" s="93">
        <v>98</v>
      </c>
      <c r="L17" s="93">
        <f t="shared" si="7"/>
        <v>784</v>
      </c>
      <c r="M17" s="90">
        <v>1</v>
      </c>
      <c r="N17" s="96">
        <v>98</v>
      </c>
      <c r="O17" s="96">
        <f>N17*M17</f>
        <v>98</v>
      </c>
      <c r="P17" s="93">
        <v>7</v>
      </c>
      <c r="Q17" s="93">
        <v>98</v>
      </c>
      <c r="R17" s="93">
        <f t="shared" si="8"/>
        <v>686</v>
      </c>
    </row>
    <row r="18" spans="1:18" ht="19.5">
      <c r="A18" s="84" t="s">
        <v>129</v>
      </c>
      <c r="B18" s="84" t="s">
        <v>80</v>
      </c>
      <c r="C18" s="93">
        <v>2</v>
      </c>
      <c r="D18" s="93">
        <v>47</v>
      </c>
      <c r="E18" s="93">
        <f t="shared" si="6"/>
        <v>94</v>
      </c>
      <c r="F18" s="95"/>
      <c r="G18" s="95"/>
      <c r="H18" s="95"/>
      <c r="I18" s="95"/>
      <c r="J18" s="93">
        <v>2</v>
      </c>
      <c r="K18" s="93">
        <v>47</v>
      </c>
      <c r="L18" s="93">
        <f t="shared" si="7"/>
        <v>94</v>
      </c>
      <c r="M18" s="90">
        <v>1</v>
      </c>
      <c r="N18" s="96">
        <v>47</v>
      </c>
      <c r="O18" s="96">
        <v>47</v>
      </c>
      <c r="P18" s="93">
        <v>1</v>
      </c>
      <c r="Q18" s="93">
        <v>47</v>
      </c>
      <c r="R18" s="93">
        <f t="shared" si="8"/>
        <v>47</v>
      </c>
    </row>
    <row r="19" spans="1:18" ht="19.5">
      <c r="A19" s="84" t="s">
        <v>151</v>
      </c>
      <c r="B19" s="84" t="s">
        <v>80</v>
      </c>
      <c r="C19" s="93">
        <v>661</v>
      </c>
      <c r="D19" s="93">
        <v>3.2</v>
      </c>
      <c r="E19" s="93">
        <f t="shared" si="6"/>
        <v>2115.2000000000003</v>
      </c>
      <c r="F19" s="95"/>
      <c r="G19" s="95"/>
      <c r="H19" s="95"/>
      <c r="I19" s="95"/>
      <c r="J19" s="93">
        <v>661</v>
      </c>
      <c r="K19" s="93">
        <v>3.2</v>
      </c>
      <c r="L19" s="93">
        <f t="shared" si="7"/>
        <v>2115.2000000000003</v>
      </c>
      <c r="M19" s="90">
        <v>229</v>
      </c>
      <c r="N19" s="96">
        <v>3.2</v>
      </c>
      <c r="O19" s="96">
        <v>732.8</v>
      </c>
      <c r="P19" s="93">
        <v>432</v>
      </c>
      <c r="Q19" s="93">
        <v>3.2</v>
      </c>
      <c r="R19" s="93">
        <f t="shared" si="8"/>
        <v>1382.4</v>
      </c>
    </row>
    <row r="20" spans="1:18" ht="19.5">
      <c r="A20" s="84" t="s">
        <v>132</v>
      </c>
      <c r="B20" s="84" t="s">
        <v>80</v>
      </c>
      <c r="C20" s="93">
        <v>13</v>
      </c>
      <c r="D20" s="93">
        <v>5.5</v>
      </c>
      <c r="E20" s="93">
        <f t="shared" si="6"/>
        <v>71.5</v>
      </c>
      <c r="F20" s="95"/>
      <c r="G20" s="95"/>
      <c r="H20" s="95"/>
      <c r="I20" s="95"/>
      <c r="J20" s="93">
        <v>13</v>
      </c>
      <c r="K20" s="93">
        <v>5.5</v>
      </c>
      <c r="L20" s="93">
        <f t="shared" si="7"/>
        <v>71.5</v>
      </c>
      <c r="M20" s="90">
        <v>13</v>
      </c>
      <c r="N20" s="96">
        <v>5.5</v>
      </c>
      <c r="O20" s="96">
        <v>71.5</v>
      </c>
      <c r="P20" s="93">
        <v>0</v>
      </c>
      <c r="Q20" s="93">
        <v>5.5</v>
      </c>
      <c r="R20" s="93">
        <f t="shared" si="8"/>
        <v>0</v>
      </c>
    </row>
    <row r="21" spans="1:18" ht="19.5">
      <c r="A21" s="84" t="s">
        <v>132</v>
      </c>
      <c r="B21" s="84" t="s">
        <v>80</v>
      </c>
      <c r="C21" s="93">
        <v>50</v>
      </c>
      <c r="D21" s="93">
        <v>7.5</v>
      </c>
      <c r="E21" s="93">
        <f t="shared" si="6"/>
        <v>375</v>
      </c>
      <c r="F21" s="95"/>
      <c r="G21" s="95"/>
      <c r="H21" s="95"/>
      <c r="I21" s="95"/>
      <c r="J21" s="93">
        <v>50</v>
      </c>
      <c r="K21" s="93">
        <v>7.5</v>
      </c>
      <c r="L21" s="93">
        <f t="shared" si="7"/>
        <v>375</v>
      </c>
      <c r="M21" s="90"/>
      <c r="N21" s="96"/>
      <c r="O21" s="96"/>
      <c r="P21" s="93">
        <v>50</v>
      </c>
      <c r="Q21" s="93">
        <v>7.5</v>
      </c>
      <c r="R21" s="93">
        <f t="shared" si="8"/>
        <v>375</v>
      </c>
    </row>
    <row r="22" spans="1:18" ht="19.5">
      <c r="A22" s="84" t="s">
        <v>133</v>
      </c>
      <c r="B22" s="84" t="s">
        <v>80</v>
      </c>
      <c r="C22" s="93">
        <v>7</v>
      </c>
      <c r="D22" s="93">
        <v>5.5</v>
      </c>
      <c r="E22" s="93">
        <f t="shared" si="6"/>
        <v>38.5</v>
      </c>
      <c r="F22" s="95"/>
      <c r="G22" s="95"/>
      <c r="H22" s="95"/>
      <c r="I22" s="95"/>
      <c r="J22" s="93">
        <v>7</v>
      </c>
      <c r="K22" s="93">
        <v>5.5</v>
      </c>
      <c r="L22" s="93">
        <f t="shared" si="7"/>
        <v>38.5</v>
      </c>
      <c r="M22" s="90"/>
      <c r="N22" s="96"/>
      <c r="O22" s="96"/>
      <c r="P22" s="93">
        <v>7</v>
      </c>
      <c r="Q22" s="93">
        <v>5.5</v>
      </c>
      <c r="R22" s="93">
        <f t="shared" si="8"/>
        <v>38.5</v>
      </c>
    </row>
    <row r="23" spans="1:18" ht="19.5">
      <c r="A23" s="84" t="s">
        <v>73</v>
      </c>
      <c r="B23" s="84" t="s">
        <v>80</v>
      </c>
      <c r="C23" s="93">
        <v>10</v>
      </c>
      <c r="D23" s="93">
        <v>35</v>
      </c>
      <c r="E23" s="93">
        <f t="shared" si="6"/>
        <v>350</v>
      </c>
      <c r="F23" s="95"/>
      <c r="G23" s="95"/>
      <c r="H23" s="95"/>
      <c r="I23" s="95"/>
      <c r="J23" s="93">
        <v>10</v>
      </c>
      <c r="K23" s="93">
        <v>35</v>
      </c>
      <c r="L23" s="93">
        <f t="shared" si="7"/>
        <v>350</v>
      </c>
      <c r="M23" s="80"/>
      <c r="N23" s="84"/>
      <c r="O23" s="84"/>
      <c r="P23" s="93">
        <v>10</v>
      </c>
      <c r="Q23" s="93">
        <v>35</v>
      </c>
      <c r="R23" s="93">
        <f t="shared" si="8"/>
        <v>350</v>
      </c>
    </row>
    <row r="24" spans="1:18" ht="19.5">
      <c r="A24" s="84" t="s">
        <v>130</v>
      </c>
      <c r="B24" s="84" t="s">
        <v>80</v>
      </c>
      <c r="C24" s="93">
        <v>13</v>
      </c>
      <c r="D24" s="93">
        <v>12</v>
      </c>
      <c r="E24" s="93">
        <f t="shared" si="6"/>
        <v>156</v>
      </c>
      <c r="F24" s="95"/>
      <c r="G24" s="95"/>
      <c r="H24" s="95"/>
      <c r="I24" s="95"/>
      <c r="J24" s="93">
        <v>13</v>
      </c>
      <c r="K24" s="93">
        <v>12</v>
      </c>
      <c r="L24" s="93">
        <f t="shared" si="7"/>
        <v>156</v>
      </c>
      <c r="M24" s="90">
        <v>3</v>
      </c>
      <c r="N24" s="96">
        <v>12</v>
      </c>
      <c r="O24" s="96">
        <v>36</v>
      </c>
      <c r="P24" s="93">
        <v>10</v>
      </c>
      <c r="Q24" s="93">
        <v>12</v>
      </c>
      <c r="R24" s="93">
        <f t="shared" ref="R24:R43" si="9">Q24*P24</f>
        <v>120</v>
      </c>
    </row>
    <row r="25" spans="1:18" ht="19.5">
      <c r="A25" s="84" t="s">
        <v>165</v>
      </c>
      <c r="B25" s="84" t="s">
        <v>80</v>
      </c>
      <c r="C25" s="93">
        <v>6</v>
      </c>
      <c r="D25" s="93">
        <v>23</v>
      </c>
      <c r="E25" s="93">
        <f t="shared" si="6"/>
        <v>138</v>
      </c>
      <c r="F25" s="95"/>
      <c r="G25" s="95"/>
      <c r="H25" s="95"/>
      <c r="I25" s="95"/>
      <c r="J25" s="93">
        <v>6</v>
      </c>
      <c r="K25" s="93">
        <v>23</v>
      </c>
      <c r="L25" s="93">
        <f t="shared" si="7"/>
        <v>138</v>
      </c>
      <c r="M25" s="90"/>
      <c r="N25" s="96"/>
      <c r="O25" s="96"/>
      <c r="P25" s="93">
        <v>6</v>
      </c>
      <c r="Q25" s="93">
        <v>23</v>
      </c>
      <c r="R25" s="93">
        <f t="shared" si="9"/>
        <v>138</v>
      </c>
    </row>
    <row r="26" spans="1:18" ht="19.5">
      <c r="A26" s="84" t="s">
        <v>166</v>
      </c>
      <c r="B26" s="84" t="s">
        <v>80</v>
      </c>
      <c r="C26" s="93">
        <v>8</v>
      </c>
      <c r="D26" s="93">
        <v>23</v>
      </c>
      <c r="E26" s="93">
        <f t="shared" si="6"/>
        <v>184</v>
      </c>
      <c r="F26" s="95"/>
      <c r="G26" s="95"/>
      <c r="H26" s="95"/>
      <c r="I26" s="95"/>
      <c r="J26" s="93">
        <v>8</v>
      </c>
      <c r="K26" s="93">
        <v>23</v>
      </c>
      <c r="L26" s="93">
        <f t="shared" si="7"/>
        <v>184</v>
      </c>
      <c r="M26" s="90"/>
      <c r="N26" s="96"/>
      <c r="O26" s="96"/>
      <c r="P26" s="93">
        <v>8</v>
      </c>
      <c r="Q26" s="93">
        <v>23</v>
      </c>
      <c r="R26" s="93">
        <f t="shared" si="9"/>
        <v>184</v>
      </c>
    </row>
    <row r="27" spans="1:18" ht="19.5">
      <c r="A27" s="84" t="s">
        <v>139</v>
      </c>
      <c r="B27" s="84" t="s">
        <v>80</v>
      </c>
      <c r="C27" s="93">
        <v>1</v>
      </c>
      <c r="D27" s="93">
        <v>19</v>
      </c>
      <c r="E27" s="93">
        <f t="shared" si="6"/>
        <v>19</v>
      </c>
      <c r="F27" s="95">
        <v>815</v>
      </c>
      <c r="G27" s="95">
        <v>5</v>
      </c>
      <c r="H27" s="95">
        <v>19</v>
      </c>
      <c r="I27" s="95">
        <f>H27*G27</f>
        <v>95</v>
      </c>
      <c r="J27" s="93">
        <v>6</v>
      </c>
      <c r="K27" s="93">
        <v>19</v>
      </c>
      <c r="L27" s="93">
        <f t="shared" si="7"/>
        <v>114</v>
      </c>
      <c r="M27" s="90">
        <v>1</v>
      </c>
      <c r="N27" s="96">
        <v>19</v>
      </c>
      <c r="O27" s="96">
        <f>N27*M27</f>
        <v>19</v>
      </c>
      <c r="P27" s="93">
        <v>5</v>
      </c>
      <c r="Q27" s="93">
        <v>19</v>
      </c>
      <c r="R27" s="93">
        <f t="shared" si="9"/>
        <v>95</v>
      </c>
    </row>
    <row r="28" spans="1:18" ht="19.5">
      <c r="A28" s="84" t="s">
        <v>140</v>
      </c>
      <c r="B28" s="84" t="s">
        <v>80</v>
      </c>
      <c r="C28" s="98">
        <v>1</v>
      </c>
      <c r="D28" s="93">
        <v>425</v>
      </c>
      <c r="E28" s="93">
        <f t="shared" si="6"/>
        <v>425</v>
      </c>
      <c r="F28" s="95"/>
      <c r="G28" s="95"/>
      <c r="H28" s="95"/>
      <c r="I28" s="95"/>
      <c r="J28" s="98">
        <v>1</v>
      </c>
      <c r="K28" s="93">
        <v>425</v>
      </c>
      <c r="L28" s="93">
        <f t="shared" si="7"/>
        <v>425</v>
      </c>
      <c r="M28" s="90"/>
      <c r="N28" s="96"/>
      <c r="O28" s="96"/>
      <c r="P28" s="98">
        <v>1</v>
      </c>
      <c r="Q28" s="93">
        <v>425</v>
      </c>
      <c r="R28" s="93">
        <f t="shared" si="9"/>
        <v>425</v>
      </c>
    </row>
    <row r="29" spans="1:18" ht="19.5">
      <c r="A29" s="84" t="s">
        <v>99</v>
      </c>
      <c r="B29" s="84" t="s">
        <v>80</v>
      </c>
      <c r="C29" s="98">
        <v>1</v>
      </c>
      <c r="D29" s="93">
        <v>546</v>
      </c>
      <c r="E29" s="93">
        <f t="shared" si="6"/>
        <v>546</v>
      </c>
      <c r="F29" s="95"/>
      <c r="G29" s="95"/>
      <c r="H29" s="95"/>
      <c r="I29" s="95"/>
      <c r="J29" s="98">
        <v>1</v>
      </c>
      <c r="K29" s="93">
        <v>546</v>
      </c>
      <c r="L29" s="93">
        <f t="shared" si="7"/>
        <v>546</v>
      </c>
      <c r="M29" s="90"/>
      <c r="N29" s="96"/>
      <c r="O29" s="96"/>
      <c r="P29" s="98">
        <v>1</v>
      </c>
      <c r="Q29" s="93">
        <v>546</v>
      </c>
      <c r="R29" s="93">
        <f t="shared" si="9"/>
        <v>546</v>
      </c>
    </row>
    <row r="30" spans="1:18" ht="19.5">
      <c r="A30" s="84" t="s">
        <v>178</v>
      </c>
      <c r="B30" s="84" t="s">
        <v>80</v>
      </c>
      <c r="C30" s="98">
        <v>1</v>
      </c>
      <c r="D30" s="93">
        <v>245</v>
      </c>
      <c r="E30" s="93">
        <f t="shared" si="6"/>
        <v>245</v>
      </c>
      <c r="F30" s="95"/>
      <c r="G30" s="95"/>
      <c r="H30" s="95"/>
      <c r="I30" s="95"/>
      <c r="J30" s="98">
        <v>1</v>
      </c>
      <c r="K30" s="93">
        <v>245</v>
      </c>
      <c r="L30" s="93">
        <f t="shared" si="7"/>
        <v>245</v>
      </c>
      <c r="M30" s="90"/>
      <c r="N30" s="96"/>
      <c r="O30" s="96"/>
      <c r="P30" s="98">
        <v>1</v>
      </c>
      <c r="Q30" s="93">
        <v>245</v>
      </c>
      <c r="R30" s="93">
        <f t="shared" si="9"/>
        <v>245</v>
      </c>
    </row>
    <row r="31" spans="1:18" ht="19.5">
      <c r="A31" s="84" t="s">
        <v>105</v>
      </c>
      <c r="B31" s="84" t="s">
        <v>80</v>
      </c>
      <c r="C31" s="93">
        <v>376</v>
      </c>
      <c r="D31" s="93">
        <v>6.5</v>
      </c>
      <c r="E31" s="93">
        <f>D31*C31</f>
        <v>2444</v>
      </c>
      <c r="F31" s="95"/>
      <c r="G31" s="95"/>
      <c r="H31" s="95"/>
      <c r="I31" s="95"/>
      <c r="J31" s="93">
        <v>376</v>
      </c>
      <c r="K31" s="93">
        <v>6.5</v>
      </c>
      <c r="L31" s="93">
        <f>K31*J31</f>
        <v>2444</v>
      </c>
      <c r="M31" s="90">
        <v>54</v>
      </c>
      <c r="N31" s="96">
        <v>6.5</v>
      </c>
      <c r="O31" s="96">
        <v>351</v>
      </c>
      <c r="P31" s="93">
        <v>322</v>
      </c>
      <c r="Q31" s="93">
        <v>6.5</v>
      </c>
      <c r="R31" s="93">
        <f>Q31*P31</f>
        <v>2093</v>
      </c>
    </row>
    <row r="32" spans="1:18" ht="19.5">
      <c r="A32" s="84" t="s">
        <v>0</v>
      </c>
      <c r="B32" s="84" t="s">
        <v>80</v>
      </c>
      <c r="C32" s="98">
        <v>10</v>
      </c>
      <c r="D32" s="93">
        <v>4</v>
      </c>
      <c r="E32" s="93">
        <f t="shared" ref="E32:E43" si="10">D32*C32</f>
        <v>40</v>
      </c>
      <c r="F32" s="95"/>
      <c r="G32" s="95"/>
      <c r="H32" s="95"/>
      <c r="I32" s="95"/>
      <c r="J32" s="98">
        <v>10</v>
      </c>
      <c r="K32" s="93">
        <v>4</v>
      </c>
      <c r="L32" s="93">
        <f t="shared" ref="L32:L43" si="11">K32*J32</f>
        <v>40</v>
      </c>
      <c r="M32" s="90"/>
      <c r="N32" s="96"/>
      <c r="O32" s="96"/>
      <c r="P32" s="98">
        <v>10</v>
      </c>
      <c r="Q32" s="93">
        <v>4</v>
      </c>
      <c r="R32" s="93">
        <f t="shared" si="9"/>
        <v>40</v>
      </c>
    </row>
    <row r="33" spans="1:18" ht="19.5">
      <c r="A33" s="84" t="s">
        <v>52</v>
      </c>
      <c r="B33" s="84" t="s">
        <v>80</v>
      </c>
      <c r="C33" s="98">
        <v>8</v>
      </c>
      <c r="D33" s="93">
        <v>4.5</v>
      </c>
      <c r="E33" s="93">
        <f t="shared" si="10"/>
        <v>36</v>
      </c>
      <c r="F33" s="95">
        <v>835</v>
      </c>
      <c r="G33" s="95">
        <v>10</v>
      </c>
      <c r="H33" s="95">
        <v>4.5</v>
      </c>
      <c r="I33" s="95">
        <f>H33*G33</f>
        <v>45</v>
      </c>
      <c r="J33" s="98">
        <v>18</v>
      </c>
      <c r="K33" s="93">
        <v>4.5</v>
      </c>
      <c r="L33" s="93">
        <f t="shared" si="11"/>
        <v>81</v>
      </c>
      <c r="M33" s="90">
        <v>1</v>
      </c>
      <c r="N33" s="96">
        <v>4.5</v>
      </c>
      <c r="O33" s="96">
        <f>N33*M33</f>
        <v>4.5</v>
      </c>
      <c r="P33" s="98">
        <v>17</v>
      </c>
      <c r="Q33" s="93">
        <v>4.5</v>
      </c>
      <c r="R33" s="93">
        <f t="shared" si="9"/>
        <v>76.5</v>
      </c>
    </row>
    <row r="34" spans="1:18" ht="19.5">
      <c r="A34" s="84" t="s">
        <v>116</v>
      </c>
      <c r="B34" s="84" t="s">
        <v>80</v>
      </c>
      <c r="C34" s="98">
        <v>29</v>
      </c>
      <c r="D34" s="93">
        <v>23</v>
      </c>
      <c r="E34" s="93">
        <f t="shared" si="10"/>
        <v>667</v>
      </c>
      <c r="F34" s="95"/>
      <c r="G34" s="95"/>
      <c r="H34" s="95"/>
      <c r="I34" s="95"/>
      <c r="J34" s="98">
        <v>29</v>
      </c>
      <c r="K34" s="93">
        <v>23</v>
      </c>
      <c r="L34" s="93">
        <f t="shared" si="11"/>
        <v>667</v>
      </c>
      <c r="M34" s="90">
        <v>1</v>
      </c>
      <c r="N34" s="96">
        <v>23</v>
      </c>
      <c r="O34" s="96">
        <v>23</v>
      </c>
      <c r="P34" s="98">
        <v>28</v>
      </c>
      <c r="Q34" s="93">
        <v>23</v>
      </c>
      <c r="R34" s="93">
        <f t="shared" si="9"/>
        <v>644</v>
      </c>
    </row>
    <row r="35" spans="1:18" ht="19.5">
      <c r="A35" s="84" t="s">
        <v>142</v>
      </c>
      <c r="B35" s="84" t="s">
        <v>80</v>
      </c>
      <c r="C35" s="98">
        <v>0</v>
      </c>
      <c r="D35" s="93">
        <v>146</v>
      </c>
      <c r="E35" s="93">
        <f t="shared" si="10"/>
        <v>0</v>
      </c>
      <c r="F35" s="95"/>
      <c r="G35" s="95"/>
      <c r="H35" s="95"/>
      <c r="I35" s="95"/>
      <c r="J35" s="98">
        <v>0</v>
      </c>
      <c r="K35" s="93">
        <v>146</v>
      </c>
      <c r="L35" s="93">
        <f t="shared" si="11"/>
        <v>0</v>
      </c>
      <c r="M35" s="90"/>
      <c r="N35" s="96"/>
      <c r="O35" s="96"/>
      <c r="P35" s="98">
        <v>0</v>
      </c>
      <c r="Q35" s="93">
        <v>146</v>
      </c>
      <c r="R35" s="93">
        <f t="shared" si="9"/>
        <v>0</v>
      </c>
    </row>
    <row r="36" spans="1:18" ht="19.5">
      <c r="A36" s="84" t="s">
        <v>192</v>
      </c>
      <c r="B36" s="84" t="s">
        <v>80</v>
      </c>
      <c r="C36" s="98">
        <v>9</v>
      </c>
      <c r="D36" s="93">
        <v>18</v>
      </c>
      <c r="E36" s="93">
        <f t="shared" si="10"/>
        <v>162</v>
      </c>
      <c r="F36" s="95"/>
      <c r="G36" s="95"/>
      <c r="H36" s="95"/>
      <c r="I36" s="95"/>
      <c r="J36" s="98">
        <v>9</v>
      </c>
      <c r="K36" s="93">
        <v>18</v>
      </c>
      <c r="L36" s="93">
        <f t="shared" si="11"/>
        <v>162</v>
      </c>
      <c r="M36" s="90"/>
      <c r="N36" s="96"/>
      <c r="O36" s="96"/>
      <c r="P36" s="98">
        <v>9</v>
      </c>
      <c r="Q36" s="93">
        <v>18</v>
      </c>
      <c r="R36" s="93">
        <f t="shared" si="9"/>
        <v>162</v>
      </c>
    </row>
    <row r="37" spans="1:18" ht="19.5">
      <c r="A37" s="84" t="s">
        <v>167</v>
      </c>
      <c r="B37" s="84" t="s">
        <v>80</v>
      </c>
      <c r="C37" s="98">
        <v>3</v>
      </c>
      <c r="D37" s="93">
        <v>47</v>
      </c>
      <c r="E37" s="93">
        <f t="shared" si="10"/>
        <v>141</v>
      </c>
      <c r="F37" s="95"/>
      <c r="G37" s="95"/>
      <c r="H37" s="95"/>
      <c r="I37" s="95"/>
      <c r="J37" s="98">
        <v>3</v>
      </c>
      <c r="K37" s="93">
        <v>47</v>
      </c>
      <c r="L37" s="93">
        <f t="shared" si="11"/>
        <v>141</v>
      </c>
      <c r="M37" s="90"/>
      <c r="N37" s="96"/>
      <c r="O37" s="96"/>
      <c r="P37" s="98">
        <v>3</v>
      </c>
      <c r="Q37" s="93">
        <v>47</v>
      </c>
      <c r="R37" s="93">
        <f t="shared" si="9"/>
        <v>141</v>
      </c>
    </row>
    <row r="38" spans="1:18" ht="19.5">
      <c r="A38" s="84" t="s">
        <v>95</v>
      </c>
      <c r="B38" s="84" t="s">
        <v>80</v>
      </c>
      <c r="C38" s="98">
        <v>0</v>
      </c>
      <c r="D38" s="93">
        <v>30</v>
      </c>
      <c r="E38" s="93">
        <f t="shared" si="10"/>
        <v>0</v>
      </c>
      <c r="F38" s="95"/>
      <c r="G38" s="95"/>
      <c r="H38" s="95"/>
      <c r="I38" s="95"/>
      <c r="J38" s="98">
        <v>0</v>
      </c>
      <c r="K38" s="93">
        <v>30</v>
      </c>
      <c r="L38" s="93">
        <f t="shared" si="11"/>
        <v>0</v>
      </c>
      <c r="M38" s="90"/>
      <c r="N38" s="96"/>
      <c r="O38" s="96"/>
      <c r="P38" s="98">
        <v>0</v>
      </c>
      <c r="Q38" s="93">
        <v>30</v>
      </c>
      <c r="R38" s="93">
        <f t="shared" si="9"/>
        <v>0</v>
      </c>
    </row>
    <row r="39" spans="1:18" ht="19.5">
      <c r="A39" s="84" t="s">
        <v>210</v>
      </c>
      <c r="B39" s="84" t="s">
        <v>80</v>
      </c>
      <c r="C39" s="98">
        <v>1</v>
      </c>
      <c r="D39" s="93">
        <v>545</v>
      </c>
      <c r="E39" s="93">
        <f t="shared" si="10"/>
        <v>545</v>
      </c>
      <c r="F39" s="95"/>
      <c r="G39" s="95"/>
      <c r="H39" s="95"/>
      <c r="I39" s="95"/>
      <c r="J39" s="98">
        <v>1</v>
      </c>
      <c r="K39" s="93">
        <v>545</v>
      </c>
      <c r="L39" s="93">
        <f t="shared" si="11"/>
        <v>545</v>
      </c>
      <c r="M39" s="90">
        <v>1</v>
      </c>
      <c r="N39" s="96">
        <v>545</v>
      </c>
      <c r="O39" s="96">
        <v>545</v>
      </c>
      <c r="P39" s="98">
        <v>0</v>
      </c>
      <c r="Q39" s="93">
        <v>545</v>
      </c>
      <c r="R39" s="93">
        <f t="shared" si="9"/>
        <v>0</v>
      </c>
    </row>
    <row r="40" spans="1:18" ht="19.5">
      <c r="A40" s="84" t="s">
        <v>193</v>
      </c>
      <c r="B40" s="84" t="s">
        <v>80</v>
      </c>
      <c r="C40" s="98">
        <v>14</v>
      </c>
      <c r="D40" s="93">
        <v>38</v>
      </c>
      <c r="E40" s="93">
        <f t="shared" si="10"/>
        <v>532</v>
      </c>
      <c r="F40" s="95"/>
      <c r="G40" s="95"/>
      <c r="H40" s="95"/>
      <c r="I40" s="95"/>
      <c r="J40" s="98">
        <v>14</v>
      </c>
      <c r="K40" s="93">
        <v>38</v>
      </c>
      <c r="L40" s="93">
        <f t="shared" si="11"/>
        <v>532</v>
      </c>
      <c r="M40" s="90"/>
      <c r="N40" s="96"/>
      <c r="O40" s="96"/>
      <c r="P40" s="98">
        <v>14</v>
      </c>
      <c r="Q40" s="93">
        <v>38</v>
      </c>
      <c r="R40" s="93">
        <f t="shared" si="9"/>
        <v>532</v>
      </c>
    </row>
    <row r="41" spans="1:18" ht="19.5">
      <c r="A41" s="84" t="s">
        <v>168</v>
      </c>
      <c r="B41" s="84" t="s">
        <v>160</v>
      </c>
      <c r="C41" s="98">
        <v>1</v>
      </c>
      <c r="D41" s="93">
        <v>17</v>
      </c>
      <c r="E41" s="93">
        <f t="shared" si="10"/>
        <v>17</v>
      </c>
      <c r="F41" s="95"/>
      <c r="G41" s="95"/>
      <c r="H41" s="95"/>
      <c r="I41" s="95"/>
      <c r="J41" s="98">
        <v>1</v>
      </c>
      <c r="K41" s="93">
        <v>17</v>
      </c>
      <c r="L41" s="93">
        <f t="shared" si="11"/>
        <v>17</v>
      </c>
      <c r="M41" s="90">
        <v>1</v>
      </c>
      <c r="N41" s="96">
        <v>17</v>
      </c>
      <c r="O41" s="96">
        <v>17</v>
      </c>
      <c r="P41" s="98">
        <v>0</v>
      </c>
      <c r="Q41" s="93">
        <v>17</v>
      </c>
      <c r="R41" s="93">
        <f t="shared" si="9"/>
        <v>0</v>
      </c>
    </row>
    <row r="42" spans="1:18" ht="19.5">
      <c r="A42" s="84" t="s">
        <v>172</v>
      </c>
      <c r="B42" s="84" t="s">
        <v>80</v>
      </c>
      <c r="C42" s="98">
        <v>1</v>
      </c>
      <c r="D42" s="93">
        <v>45</v>
      </c>
      <c r="E42" s="93">
        <f t="shared" si="10"/>
        <v>45</v>
      </c>
      <c r="F42" s="95"/>
      <c r="G42" s="95"/>
      <c r="H42" s="95"/>
      <c r="I42" s="95"/>
      <c r="J42" s="98">
        <v>1</v>
      </c>
      <c r="K42" s="93">
        <v>45</v>
      </c>
      <c r="L42" s="93">
        <f t="shared" si="11"/>
        <v>45</v>
      </c>
      <c r="M42" s="90"/>
      <c r="N42" s="96"/>
      <c r="O42" s="96"/>
      <c r="P42" s="98">
        <v>1</v>
      </c>
      <c r="Q42" s="93">
        <v>45</v>
      </c>
      <c r="R42" s="93">
        <f t="shared" si="9"/>
        <v>45</v>
      </c>
    </row>
    <row r="43" spans="1:18" ht="19.5">
      <c r="A43" s="84" t="s">
        <v>149</v>
      </c>
      <c r="B43" s="84" t="s">
        <v>80</v>
      </c>
      <c r="C43" s="98">
        <v>21</v>
      </c>
      <c r="D43" s="93">
        <v>9</v>
      </c>
      <c r="E43" s="93">
        <f t="shared" si="10"/>
        <v>189</v>
      </c>
      <c r="F43" s="95"/>
      <c r="G43" s="95"/>
      <c r="H43" s="95"/>
      <c r="I43" s="95"/>
      <c r="J43" s="98">
        <v>21</v>
      </c>
      <c r="K43" s="93">
        <v>9</v>
      </c>
      <c r="L43" s="93">
        <f t="shared" si="11"/>
        <v>189</v>
      </c>
      <c r="M43" s="90">
        <v>8</v>
      </c>
      <c r="N43" s="96">
        <v>9</v>
      </c>
      <c r="O43" s="96">
        <v>72</v>
      </c>
      <c r="P43" s="98">
        <v>13</v>
      </c>
      <c r="Q43" s="93">
        <v>9</v>
      </c>
      <c r="R43" s="93">
        <f t="shared" si="9"/>
        <v>117</v>
      </c>
    </row>
    <row r="44" spans="1:18" ht="19.5">
      <c r="A44" s="84" t="s">
        <v>131</v>
      </c>
      <c r="B44" s="84"/>
      <c r="C44" s="84"/>
      <c r="D44" s="84"/>
      <c r="E44" s="119">
        <f>SUM(E4:E43)</f>
        <v>16089.7</v>
      </c>
      <c r="F44" s="84"/>
      <c r="G44" s="84"/>
      <c r="H44" s="84"/>
      <c r="I44" s="95">
        <f>SUM(I5:I43)</f>
        <v>8583</v>
      </c>
      <c r="J44" s="84"/>
      <c r="K44" s="84"/>
      <c r="L44" s="130">
        <f>SUM(L4:L43)</f>
        <v>24672.7</v>
      </c>
      <c r="M44" s="80"/>
      <c r="N44" s="84"/>
      <c r="O44" s="96">
        <f>SUM(O4:O43)</f>
        <v>8560.2000000000007</v>
      </c>
      <c r="P44" s="84"/>
      <c r="Q44" s="84"/>
      <c r="R44" s="93">
        <f>SUM(R4:R43)</f>
        <v>16112.5</v>
      </c>
    </row>
    <row r="45" spans="1:18" ht="19.5">
      <c r="A45" s="68"/>
      <c r="B45" s="68"/>
      <c r="C45" s="68"/>
      <c r="D45" s="68"/>
      <c r="E45" s="75"/>
      <c r="F45" s="68"/>
      <c r="G45" s="68"/>
      <c r="H45" s="68"/>
      <c r="I45" s="76"/>
      <c r="J45" s="68"/>
      <c r="K45" s="68"/>
      <c r="L45" s="77"/>
      <c r="M45" s="15"/>
      <c r="N45" s="68"/>
      <c r="O45" s="118"/>
      <c r="P45" s="68"/>
      <c r="Q45" s="68"/>
      <c r="R45" s="75"/>
    </row>
    <row r="46" spans="1:18" ht="42.75">
      <c r="A46" s="168" t="s">
        <v>218</v>
      </c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</row>
    <row r="47" spans="1:18" ht="19.5">
      <c r="A47" s="78"/>
      <c r="B47" s="79"/>
      <c r="C47" s="80" t="s">
        <v>84</v>
      </c>
      <c r="D47" s="80"/>
      <c r="E47" s="80"/>
      <c r="F47" s="147" t="s">
        <v>13</v>
      </c>
      <c r="G47" s="148"/>
      <c r="H47" s="148"/>
      <c r="I47" s="149"/>
      <c r="J47" s="150" t="s">
        <v>14</v>
      </c>
      <c r="K47" s="151"/>
      <c r="L47" s="152"/>
      <c r="M47" s="153" t="s">
        <v>93</v>
      </c>
      <c r="N47" s="154"/>
      <c r="O47" s="155"/>
      <c r="P47" s="144" t="s">
        <v>83</v>
      </c>
      <c r="Q47" s="145"/>
      <c r="R47" s="146"/>
    </row>
    <row r="48" spans="1:18" ht="58.5">
      <c r="A48" s="81" t="s">
        <v>15</v>
      </c>
      <c r="B48" s="81" t="s">
        <v>79</v>
      </c>
      <c r="C48" s="82" t="s">
        <v>16</v>
      </c>
      <c r="D48" s="81" t="s">
        <v>17</v>
      </c>
      <c r="E48" s="81" t="s">
        <v>18</v>
      </c>
      <c r="F48" s="81" t="s">
        <v>19</v>
      </c>
      <c r="G48" s="82" t="s">
        <v>16</v>
      </c>
      <c r="H48" s="81" t="s">
        <v>17</v>
      </c>
      <c r="I48" s="81" t="s">
        <v>18</v>
      </c>
      <c r="J48" s="82" t="s">
        <v>16</v>
      </c>
      <c r="K48" s="81" t="s">
        <v>17</v>
      </c>
      <c r="L48" s="81" t="s">
        <v>18</v>
      </c>
      <c r="M48" s="82" t="s">
        <v>16</v>
      </c>
      <c r="N48" s="81" t="s">
        <v>17</v>
      </c>
      <c r="O48" s="81" t="s">
        <v>18</v>
      </c>
      <c r="P48" s="83" t="s">
        <v>16</v>
      </c>
      <c r="Q48" s="84" t="s">
        <v>17</v>
      </c>
      <c r="R48" s="84" t="s">
        <v>18</v>
      </c>
    </row>
    <row r="49" spans="1:18" ht="19.5">
      <c r="A49" s="84" t="s">
        <v>134</v>
      </c>
      <c r="B49" s="84" t="s">
        <v>80</v>
      </c>
      <c r="C49" s="93">
        <v>35</v>
      </c>
      <c r="D49" s="93">
        <v>19</v>
      </c>
      <c r="E49" s="93">
        <f>D49*C49</f>
        <v>665</v>
      </c>
      <c r="F49" s="95"/>
      <c r="G49" s="95"/>
      <c r="H49" s="95"/>
      <c r="I49" s="95"/>
      <c r="J49" s="93">
        <v>35</v>
      </c>
      <c r="K49" s="93">
        <v>19</v>
      </c>
      <c r="L49" s="93">
        <f>K49*J49</f>
        <v>665</v>
      </c>
      <c r="M49" s="90">
        <v>8</v>
      </c>
      <c r="N49" s="96">
        <v>19</v>
      </c>
      <c r="O49" s="96">
        <f>N49*M49</f>
        <v>152</v>
      </c>
      <c r="P49" s="93">
        <v>27</v>
      </c>
      <c r="Q49" s="93">
        <v>19</v>
      </c>
      <c r="R49" s="93">
        <f>Q49*P49</f>
        <v>513</v>
      </c>
    </row>
    <row r="50" spans="1:18" ht="19.5">
      <c r="A50" s="84" t="s">
        <v>135</v>
      </c>
      <c r="B50" s="84" t="s">
        <v>80</v>
      </c>
      <c r="C50" s="93">
        <v>8</v>
      </c>
      <c r="D50" s="93">
        <v>21</v>
      </c>
      <c r="E50" s="93">
        <f t="shared" ref="E50:E52" si="12">D50*C50</f>
        <v>168</v>
      </c>
      <c r="F50" s="129"/>
      <c r="G50" s="95"/>
      <c r="H50" s="95"/>
      <c r="I50" s="95"/>
      <c r="J50" s="93">
        <v>8</v>
      </c>
      <c r="K50" s="93">
        <v>21</v>
      </c>
      <c r="L50" s="93">
        <f t="shared" ref="L50:L52" si="13">K50*J50</f>
        <v>168</v>
      </c>
      <c r="M50" s="90">
        <v>2</v>
      </c>
      <c r="N50" s="96">
        <v>21</v>
      </c>
      <c r="O50" s="96">
        <f>N50*M50</f>
        <v>42</v>
      </c>
      <c r="P50" s="93">
        <v>6</v>
      </c>
      <c r="Q50" s="93">
        <v>21</v>
      </c>
      <c r="R50" s="93">
        <f t="shared" ref="R50:R69" si="14">Q50*P50</f>
        <v>126</v>
      </c>
    </row>
    <row r="51" spans="1:18" ht="19.5">
      <c r="A51" s="84" t="s">
        <v>103</v>
      </c>
      <c r="B51" s="84" t="s">
        <v>80</v>
      </c>
      <c r="C51" s="93">
        <v>3</v>
      </c>
      <c r="D51" s="93">
        <v>85</v>
      </c>
      <c r="E51" s="93">
        <f t="shared" si="12"/>
        <v>255</v>
      </c>
      <c r="F51" s="95"/>
      <c r="G51" s="95"/>
      <c r="H51" s="95"/>
      <c r="I51" s="95"/>
      <c r="J51" s="93">
        <v>3</v>
      </c>
      <c r="K51" s="93">
        <v>85</v>
      </c>
      <c r="L51" s="93">
        <f t="shared" si="13"/>
        <v>255</v>
      </c>
      <c r="M51" s="90"/>
      <c r="N51" s="96"/>
      <c r="O51" s="96"/>
      <c r="P51" s="93">
        <v>3</v>
      </c>
      <c r="Q51" s="93">
        <v>85</v>
      </c>
      <c r="R51" s="93">
        <f t="shared" si="14"/>
        <v>255</v>
      </c>
    </row>
    <row r="52" spans="1:18" ht="19.5">
      <c r="A52" s="84" t="s">
        <v>101</v>
      </c>
      <c r="B52" s="84" t="s">
        <v>136</v>
      </c>
      <c r="C52" s="93">
        <v>10</v>
      </c>
      <c r="D52" s="93">
        <v>125</v>
      </c>
      <c r="E52" s="93">
        <f t="shared" si="12"/>
        <v>1250</v>
      </c>
      <c r="F52" s="95">
        <v>836</v>
      </c>
      <c r="G52" s="95">
        <v>10</v>
      </c>
      <c r="H52" s="95">
        <v>125</v>
      </c>
      <c r="I52" s="95">
        <f>H52*G52</f>
        <v>1250</v>
      </c>
      <c r="J52" s="93">
        <v>20</v>
      </c>
      <c r="K52" s="93">
        <v>125</v>
      </c>
      <c r="L52" s="93">
        <f t="shared" si="13"/>
        <v>2500</v>
      </c>
      <c r="M52" s="90">
        <v>10</v>
      </c>
      <c r="N52" s="96">
        <v>125</v>
      </c>
      <c r="O52" s="96">
        <f>N52*M52</f>
        <v>1250</v>
      </c>
      <c r="P52" s="93">
        <v>10</v>
      </c>
      <c r="Q52" s="93">
        <v>125</v>
      </c>
      <c r="R52" s="93">
        <f t="shared" ref="R52" si="15">Q52*P52</f>
        <v>1250</v>
      </c>
    </row>
    <row r="53" spans="1:18" ht="39">
      <c r="A53" s="81" t="s">
        <v>162</v>
      </c>
      <c r="B53" s="84" t="s">
        <v>161</v>
      </c>
      <c r="C53" s="93">
        <v>10</v>
      </c>
      <c r="D53" s="93">
        <v>125</v>
      </c>
      <c r="E53" s="93">
        <f>D53*C53</f>
        <v>1250</v>
      </c>
      <c r="F53" s="95">
        <v>836</v>
      </c>
      <c r="G53" s="95">
        <v>10</v>
      </c>
      <c r="H53" s="95">
        <v>125</v>
      </c>
      <c r="I53" s="95">
        <f>H53*G53</f>
        <v>1250</v>
      </c>
      <c r="J53" s="93">
        <v>20</v>
      </c>
      <c r="K53" s="93">
        <v>125</v>
      </c>
      <c r="L53" s="93">
        <f>K53*J53</f>
        <v>2500</v>
      </c>
      <c r="M53" s="96">
        <v>10</v>
      </c>
      <c r="N53" s="96">
        <v>125</v>
      </c>
      <c r="O53" s="96">
        <f>N53*M53</f>
        <v>1250</v>
      </c>
      <c r="P53" s="93">
        <v>10</v>
      </c>
      <c r="Q53" s="93">
        <v>125</v>
      </c>
      <c r="R53" s="93">
        <f>Q53*P53</f>
        <v>1250</v>
      </c>
    </row>
    <row r="54" spans="1:18" ht="19.5">
      <c r="A54" s="81" t="s">
        <v>271</v>
      </c>
      <c r="B54" s="84"/>
      <c r="C54" s="93"/>
      <c r="D54" s="93"/>
      <c r="E54" s="93"/>
      <c r="F54" s="95">
        <v>836</v>
      </c>
      <c r="G54" s="95">
        <v>1</v>
      </c>
      <c r="H54" s="95">
        <v>85</v>
      </c>
      <c r="I54" s="95">
        <f>H54*G54</f>
        <v>85</v>
      </c>
      <c r="J54" s="93">
        <v>1</v>
      </c>
      <c r="K54" s="93">
        <v>85</v>
      </c>
      <c r="L54" s="93">
        <f>K54*J54</f>
        <v>85</v>
      </c>
      <c r="M54" s="96"/>
      <c r="N54" s="96"/>
      <c r="O54" s="96"/>
      <c r="P54" s="93">
        <v>1</v>
      </c>
      <c r="Q54" s="93">
        <v>85</v>
      </c>
      <c r="R54" s="93">
        <f>Q54*P54</f>
        <v>85</v>
      </c>
    </row>
    <row r="55" spans="1:18" ht="19.5">
      <c r="A55" s="81" t="s">
        <v>190</v>
      </c>
      <c r="B55" s="84" t="s">
        <v>158</v>
      </c>
      <c r="C55" s="93">
        <v>0</v>
      </c>
      <c r="D55" s="93">
        <v>95</v>
      </c>
      <c r="E55" s="93">
        <f>D55*C55</f>
        <v>0</v>
      </c>
      <c r="F55" s="95"/>
      <c r="G55" s="95"/>
      <c r="H55" s="95"/>
      <c r="I55" s="95"/>
      <c r="J55" s="93">
        <v>0</v>
      </c>
      <c r="K55" s="93">
        <v>95</v>
      </c>
      <c r="L55" s="93">
        <f>K55*J55</f>
        <v>0</v>
      </c>
      <c r="M55" s="96"/>
      <c r="N55" s="96"/>
      <c r="O55" s="96"/>
      <c r="P55" s="93">
        <v>0</v>
      </c>
      <c r="Q55" s="93">
        <v>95</v>
      </c>
      <c r="R55" s="93">
        <f>Q55*P55</f>
        <v>0</v>
      </c>
    </row>
    <row r="56" spans="1:18" ht="19.5">
      <c r="A56" s="84" t="s">
        <v>144</v>
      </c>
      <c r="B56" s="84" t="s">
        <v>80</v>
      </c>
      <c r="C56" s="93">
        <v>0</v>
      </c>
      <c r="D56" s="93">
        <v>160</v>
      </c>
      <c r="E56" s="93">
        <f t="shared" ref="E56:E60" si="16">D56*C56</f>
        <v>0</v>
      </c>
      <c r="F56" s="95"/>
      <c r="G56" s="95"/>
      <c r="H56" s="95"/>
      <c r="I56" s="95"/>
      <c r="J56" s="93">
        <v>0</v>
      </c>
      <c r="K56" s="93">
        <v>160</v>
      </c>
      <c r="L56" s="93">
        <f t="shared" ref="L56:L60" si="17">K56*J56</f>
        <v>0</v>
      </c>
      <c r="M56" s="111"/>
      <c r="N56" s="96"/>
      <c r="O56" s="96"/>
      <c r="P56" s="93">
        <v>0</v>
      </c>
      <c r="Q56" s="93">
        <v>160</v>
      </c>
      <c r="R56" s="93">
        <f t="shared" si="14"/>
        <v>0</v>
      </c>
    </row>
    <row r="57" spans="1:18" ht="19.5">
      <c r="A57" s="84" t="s">
        <v>145</v>
      </c>
      <c r="B57" s="84" t="s">
        <v>80</v>
      </c>
      <c r="C57" s="93">
        <v>0</v>
      </c>
      <c r="D57" s="93">
        <v>185</v>
      </c>
      <c r="E57" s="93">
        <f t="shared" si="16"/>
        <v>0</v>
      </c>
      <c r="F57" s="95"/>
      <c r="G57" s="95"/>
      <c r="H57" s="95"/>
      <c r="I57" s="95"/>
      <c r="J57" s="93">
        <v>0</v>
      </c>
      <c r="K57" s="93">
        <v>185</v>
      </c>
      <c r="L57" s="93">
        <f t="shared" si="17"/>
        <v>0</v>
      </c>
      <c r="M57" s="96"/>
      <c r="N57" s="96"/>
      <c r="O57" s="96"/>
      <c r="P57" s="93">
        <v>0</v>
      </c>
      <c r="Q57" s="93">
        <v>185</v>
      </c>
      <c r="R57" s="93">
        <f t="shared" si="14"/>
        <v>0</v>
      </c>
    </row>
    <row r="58" spans="1:18" ht="19.5">
      <c r="A58" s="84" t="s">
        <v>194</v>
      </c>
      <c r="B58" s="84"/>
      <c r="C58" s="93">
        <v>0</v>
      </c>
      <c r="D58" s="93">
        <v>425</v>
      </c>
      <c r="E58" s="93">
        <f t="shared" si="16"/>
        <v>0</v>
      </c>
      <c r="F58" s="95"/>
      <c r="G58" s="95"/>
      <c r="H58" s="95"/>
      <c r="I58" s="95"/>
      <c r="J58" s="93">
        <v>0</v>
      </c>
      <c r="K58" s="93">
        <v>425</v>
      </c>
      <c r="L58" s="93">
        <f t="shared" si="17"/>
        <v>0</v>
      </c>
      <c r="M58" s="96"/>
      <c r="N58" s="96"/>
      <c r="O58" s="96"/>
      <c r="P58" s="93">
        <v>0</v>
      </c>
      <c r="Q58" s="93">
        <v>425</v>
      </c>
      <c r="R58" s="93">
        <f t="shared" si="14"/>
        <v>0</v>
      </c>
    </row>
    <row r="59" spans="1:18" ht="19.5">
      <c r="A59" s="84" t="s">
        <v>145</v>
      </c>
      <c r="B59" s="84" t="s">
        <v>80</v>
      </c>
      <c r="C59" s="93">
        <v>0</v>
      </c>
      <c r="D59" s="93">
        <v>220</v>
      </c>
      <c r="E59" s="93">
        <f t="shared" si="16"/>
        <v>0</v>
      </c>
      <c r="F59" s="95"/>
      <c r="G59" s="95"/>
      <c r="H59" s="95"/>
      <c r="I59" s="95"/>
      <c r="J59" s="93">
        <v>0</v>
      </c>
      <c r="K59" s="93">
        <v>220</v>
      </c>
      <c r="L59" s="93">
        <f t="shared" si="17"/>
        <v>0</v>
      </c>
      <c r="M59" s="96"/>
      <c r="N59" s="96"/>
      <c r="O59" s="96"/>
      <c r="P59" s="93">
        <v>0</v>
      </c>
      <c r="Q59" s="93">
        <v>220</v>
      </c>
      <c r="R59" s="93">
        <f t="shared" si="14"/>
        <v>0</v>
      </c>
    </row>
    <row r="60" spans="1:18" ht="19.5">
      <c r="A60" s="84" t="s">
        <v>146</v>
      </c>
      <c r="B60" s="84" t="s">
        <v>143</v>
      </c>
      <c r="C60" s="93">
        <v>0</v>
      </c>
      <c r="D60" s="93">
        <v>785</v>
      </c>
      <c r="E60" s="93">
        <f t="shared" si="16"/>
        <v>0</v>
      </c>
      <c r="F60" s="95"/>
      <c r="G60" s="95"/>
      <c r="H60" s="95"/>
      <c r="I60" s="95"/>
      <c r="J60" s="93">
        <v>0</v>
      </c>
      <c r="K60" s="93">
        <v>785</v>
      </c>
      <c r="L60" s="93">
        <f t="shared" si="17"/>
        <v>0</v>
      </c>
      <c r="M60" s="96"/>
      <c r="N60" s="96"/>
      <c r="O60" s="96"/>
      <c r="P60" s="93">
        <v>0</v>
      </c>
      <c r="Q60" s="93">
        <v>785</v>
      </c>
      <c r="R60" s="93">
        <f t="shared" si="14"/>
        <v>0</v>
      </c>
    </row>
    <row r="61" spans="1:18" ht="19.5">
      <c r="A61" s="84" t="s">
        <v>164</v>
      </c>
      <c r="B61" s="84" t="s">
        <v>143</v>
      </c>
      <c r="C61" s="93">
        <v>0</v>
      </c>
      <c r="D61" s="93">
        <v>330</v>
      </c>
      <c r="E61" s="93">
        <f>D61*C61</f>
        <v>0</v>
      </c>
      <c r="F61" s="95"/>
      <c r="G61" s="95"/>
      <c r="H61" s="95"/>
      <c r="I61" s="95"/>
      <c r="J61" s="93">
        <v>0</v>
      </c>
      <c r="K61" s="93">
        <v>330</v>
      </c>
      <c r="L61" s="93">
        <f>K61*J61</f>
        <v>0</v>
      </c>
      <c r="M61" s="96"/>
      <c r="N61" s="96"/>
      <c r="O61" s="96"/>
      <c r="P61" s="93">
        <v>0</v>
      </c>
      <c r="Q61" s="93">
        <v>330</v>
      </c>
      <c r="R61" s="93">
        <f>Q61*P61</f>
        <v>0</v>
      </c>
    </row>
    <row r="62" spans="1:18" ht="19.5">
      <c r="A62" s="84" t="s">
        <v>153</v>
      </c>
      <c r="B62" s="84" t="s">
        <v>158</v>
      </c>
      <c r="C62" s="93">
        <v>0</v>
      </c>
      <c r="D62" s="93">
        <v>55</v>
      </c>
      <c r="E62" s="93">
        <f t="shared" ref="E62:E69" si="18">D62*C62</f>
        <v>0</v>
      </c>
      <c r="F62" s="95"/>
      <c r="G62" s="95"/>
      <c r="H62" s="95"/>
      <c r="I62" s="95"/>
      <c r="J62" s="93">
        <v>0</v>
      </c>
      <c r="K62" s="93">
        <v>55</v>
      </c>
      <c r="L62" s="93">
        <f t="shared" ref="L62:L69" si="19">K62*J62</f>
        <v>0</v>
      </c>
      <c r="M62" s="96"/>
      <c r="N62" s="96"/>
      <c r="O62" s="96"/>
      <c r="P62" s="93">
        <v>0</v>
      </c>
      <c r="Q62" s="93">
        <v>55</v>
      </c>
      <c r="R62" s="93">
        <f t="shared" si="14"/>
        <v>0</v>
      </c>
    </row>
    <row r="63" spans="1:18" ht="19.5">
      <c r="A63" s="84" t="s">
        <v>188</v>
      </c>
      <c r="B63" s="84" t="s">
        <v>159</v>
      </c>
      <c r="C63" s="93">
        <v>0</v>
      </c>
      <c r="D63" s="93">
        <v>295</v>
      </c>
      <c r="E63" s="93">
        <f t="shared" si="18"/>
        <v>0</v>
      </c>
      <c r="F63" s="95"/>
      <c r="G63" s="95"/>
      <c r="H63" s="95"/>
      <c r="I63" s="95"/>
      <c r="J63" s="93">
        <v>0</v>
      </c>
      <c r="K63" s="93">
        <v>295</v>
      </c>
      <c r="L63" s="93">
        <f t="shared" si="19"/>
        <v>0</v>
      </c>
      <c r="M63" s="96"/>
      <c r="N63" s="96"/>
      <c r="O63" s="96"/>
      <c r="P63" s="93">
        <v>0</v>
      </c>
      <c r="Q63" s="93">
        <v>295</v>
      </c>
      <c r="R63" s="93">
        <f t="shared" si="14"/>
        <v>0</v>
      </c>
    </row>
    <row r="64" spans="1:18" ht="19.5">
      <c r="A64" s="84" t="s">
        <v>187</v>
      </c>
      <c r="B64" s="84" t="s">
        <v>159</v>
      </c>
      <c r="C64" s="93">
        <v>0</v>
      </c>
      <c r="D64" s="93">
        <v>1270</v>
      </c>
      <c r="E64" s="93">
        <f t="shared" si="18"/>
        <v>0</v>
      </c>
      <c r="F64" s="95">
        <v>836</v>
      </c>
      <c r="G64" s="95">
        <v>1</v>
      </c>
      <c r="H64" s="95">
        <v>1270</v>
      </c>
      <c r="I64" s="95">
        <f>H64*G64</f>
        <v>1270</v>
      </c>
      <c r="J64" s="93">
        <v>1</v>
      </c>
      <c r="K64" s="93">
        <v>1270</v>
      </c>
      <c r="L64" s="93">
        <f t="shared" si="19"/>
        <v>1270</v>
      </c>
      <c r="M64" s="96"/>
      <c r="N64" s="96"/>
      <c r="O64" s="96"/>
      <c r="P64" s="93">
        <v>1</v>
      </c>
      <c r="Q64" s="93">
        <v>1270</v>
      </c>
      <c r="R64" s="93">
        <f t="shared" si="14"/>
        <v>1270</v>
      </c>
    </row>
    <row r="65" spans="1:18" ht="19.5">
      <c r="A65" s="84" t="s">
        <v>154</v>
      </c>
      <c r="B65" s="84" t="s">
        <v>159</v>
      </c>
      <c r="C65" s="93">
        <v>0</v>
      </c>
      <c r="D65" s="93">
        <v>650</v>
      </c>
      <c r="E65" s="93">
        <f t="shared" si="18"/>
        <v>0</v>
      </c>
      <c r="F65" s="95"/>
      <c r="G65" s="95"/>
      <c r="H65" s="95"/>
      <c r="I65" s="95"/>
      <c r="J65" s="93">
        <v>0</v>
      </c>
      <c r="K65" s="93">
        <v>650</v>
      </c>
      <c r="L65" s="93">
        <f t="shared" si="19"/>
        <v>0</v>
      </c>
      <c r="M65" s="96"/>
      <c r="N65" s="96"/>
      <c r="O65" s="96"/>
      <c r="P65" s="93">
        <v>0</v>
      </c>
      <c r="Q65" s="93">
        <v>650</v>
      </c>
      <c r="R65" s="93">
        <f t="shared" si="14"/>
        <v>0</v>
      </c>
    </row>
    <row r="66" spans="1:18" ht="19.5">
      <c r="A66" s="84" t="s">
        <v>155</v>
      </c>
      <c r="B66" s="84" t="s">
        <v>159</v>
      </c>
      <c r="C66" s="93">
        <v>0</v>
      </c>
      <c r="D66" s="93">
        <v>850</v>
      </c>
      <c r="E66" s="93">
        <f t="shared" si="18"/>
        <v>0</v>
      </c>
      <c r="F66" s="95">
        <v>836</v>
      </c>
      <c r="G66" s="95">
        <v>1</v>
      </c>
      <c r="H66" s="95">
        <v>850</v>
      </c>
      <c r="I66" s="95">
        <f>H66*G66</f>
        <v>850</v>
      </c>
      <c r="J66" s="93">
        <v>1</v>
      </c>
      <c r="K66" s="93">
        <v>850</v>
      </c>
      <c r="L66" s="93">
        <f t="shared" si="19"/>
        <v>850</v>
      </c>
      <c r="M66" s="96"/>
      <c r="N66" s="96"/>
      <c r="O66" s="96"/>
      <c r="P66" s="93">
        <v>1</v>
      </c>
      <c r="Q66" s="93">
        <v>850</v>
      </c>
      <c r="R66" s="93">
        <f t="shared" si="14"/>
        <v>850</v>
      </c>
    </row>
    <row r="67" spans="1:18" ht="19.5">
      <c r="A67" s="84" t="s">
        <v>272</v>
      </c>
      <c r="B67" s="84" t="s">
        <v>159</v>
      </c>
      <c r="C67" s="93"/>
      <c r="D67" s="93"/>
      <c r="E67" s="93"/>
      <c r="F67" s="95">
        <v>836</v>
      </c>
      <c r="G67" s="95">
        <v>1</v>
      </c>
      <c r="H67" s="95">
        <v>715</v>
      </c>
      <c r="I67" s="95">
        <f>H67*G67</f>
        <v>715</v>
      </c>
      <c r="J67" s="93">
        <v>1</v>
      </c>
      <c r="K67" s="93">
        <v>715</v>
      </c>
      <c r="L67" s="93">
        <f t="shared" si="19"/>
        <v>715</v>
      </c>
      <c r="M67" s="96"/>
      <c r="N67" s="96"/>
      <c r="O67" s="96"/>
      <c r="P67" s="93">
        <v>1</v>
      </c>
      <c r="Q67" s="93">
        <v>715</v>
      </c>
      <c r="R67" s="93">
        <f t="shared" si="14"/>
        <v>715</v>
      </c>
    </row>
    <row r="68" spans="1:18" ht="21" customHeight="1">
      <c r="A68" s="81" t="s">
        <v>156</v>
      </c>
      <c r="B68" s="84" t="s">
        <v>160</v>
      </c>
      <c r="C68" s="93">
        <v>4</v>
      </c>
      <c r="D68" s="93">
        <v>45</v>
      </c>
      <c r="E68" s="93">
        <f t="shared" si="18"/>
        <v>180</v>
      </c>
      <c r="F68" s="95"/>
      <c r="G68" s="95"/>
      <c r="H68" s="95"/>
      <c r="I68" s="95"/>
      <c r="J68" s="93">
        <v>4</v>
      </c>
      <c r="K68" s="93">
        <v>45</v>
      </c>
      <c r="L68" s="93">
        <f t="shared" si="19"/>
        <v>180</v>
      </c>
      <c r="M68" s="96"/>
      <c r="N68" s="96"/>
      <c r="O68" s="96"/>
      <c r="P68" s="93">
        <v>4</v>
      </c>
      <c r="Q68" s="93">
        <v>45</v>
      </c>
      <c r="R68" s="93">
        <f t="shared" si="14"/>
        <v>180</v>
      </c>
    </row>
    <row r="69" spans="1:18" ht="19.5">
      <c r="A69" s="84" t="s">
        <v>157</v>
      </c>
      <c r="B69" s="84" t="s">
        <v>158</v>
      </c>
      <c r="C69" s="93">
        <v>5</v>
      </c>
      <c r="D69" s="93">
        <v>90</v>
      </c>
      <c r="E69" s="93">
        <f t="shared" si="18"/>
        <v>450</v>
      </c>
      <c r="F69" s="95"/>
      <c r="G69" s="95"/>
      <c r="H69" s="95"/>
      <c r="I69" s="95"/>
      <c r="J69" s="93">
        <v>5</v>
      </c>
      <c r="K69" s="93">
        <v>90</v>
      </c>
      <c r="L69" s="93">
        <f t="shared" si="19"/>
        <v>450</v>
      </c>
      <c r="M69" s="96"/>
      <c r="N69" s="96"/>
      <c r="O69" s="96"/>
      <c r="P69" s="93">
        <v>5</v>
      </c>
      <c r="Q69" s="93">
        <v>90</v>
      </c>
      <c r="R69" s="93">
        <f t="shared" si="14"/>
        <v>450</v>
      </c>
    </row>
    <row r="70" spans="1:18" ht="19.5">
      <c r="A70" s="84" t="s">
        <v>173</v>
      </c>
      <c r="B70" s="84" t="s">
        <v>174</v>
      </c>
      <c r="C70" s="93">
        <v>0</v>
      </c>
      <c r="D70" s="93">
        <v>78</v>
      </c>
      <c r="E70" s="93">
        <f>D70*C70</f>
        <v>0</v>
      </c>
      <c r="F70" s="95"/>
      <c r="G70" s="95"/>
      <c r="H70" s="95"/>
      <c r="I70" s="95"/>
      <c r="J70" s="93">
        <v>0</v>
      </c>
      <c r="K70" s="93">
        <v>78</v>
      </c>
      <c r="L70" s="93">
        <f>K70*J70</f>
        <v>0</v>
      </c>
      <c r="M70" s="96"/>
      <c r="N70" s="96"/>
      <c r="O70" s="96"/>
      <c r="P70" s="93">
        <v>0</v>
      </c>
      <c r="Q70" s="93">
        <v>78</v>
      </c>
      <c r="R70" s="93">
        <f>Q70*P70</f>
        <v>0</v>
      </c>
    </row>
    <row r="71" spans="1:18" ht="19.5">
      <c r="A71" s="84" t="s">
        <v>175</v>
      </c>
      <c r="B71" s="84" t="s">
        <v>174</v>
      </c>
      <c r="C71" s="93">
        <v>0</v>
      </c>
      <c r="D71" s="93">
        <v>57</v>
      </c>
      <c r="E71" s="93">
        <f>D71*C71</f>
        <v>0</v>
      </c>
      <c r="F71" s="95"/>
      <c r="G71" s="95"/>
      <c r="H71" s="95"/>
      <c r="I71" s="95"/>
      <c r="J71" s="93">
        <v>0</v>
      </c>
      <c r="K71" s="93">
        <v>57</v>
      </c>
      <c r="L71" s="93">
        <f>K71*J71</f>
        <v>0</v>
      </c>
      <c r="M71" s="96"/>
      <c r="N71" s="96"/>
      <c r="O71" s="96"/>
      <c r="P71" s="93">
        <v>0</v>
      </c>
      <c r="Q71" s="93">
        <v>57</v>
      </c>
      <c r="R71" s="93">
        <f>Q71*P71</f>
        <v>0</v>
      </c>
    </row>
    <row r="72" spans="1:18" ht="19.5">
      <c r="A72" s="84" t="s">
        <v>176</v>
      </c>
      <c r="B72" s="84" t="s">
        <v>174</v>
      </c>
      <c r="C72" s="93">
        <v>0</v>
      </c>
      <c r="D72" s="93">
        <v>45</v>
      </c>
      <c r="E72" s="93">
        <f>D72*C72</f>
        <v>0</v>
      </c>
      <c r="F72" s="95"/>
      <c r="G72" s="95"/>
      <c r="H72" s="95"/>
      <c r="I72" s="95"/>
      <c r="J72" s="93">
        <v>0</v>
      </c>
      <c r="K72" s="93">
        <v>45</v>
      </c>
      <c r="L72" s="93">
        <f>K72*J72</f>
        <v>0</v>
      </c>
      <c r="M72" s="96"/>
      <c r="N72" s="96"/>
      <c r="O72" s="96"/>
      <c r="P72" s="93">
        <v>0</v>
      </c>
      <c r="Q72" s="93">
        <v>45</v>
      </c>
      <c r="R72" s="93">
        <f>Q72*P72</f>
        <v>0</v>
      </c>
    </row>
    <row r="73" spans="1:18" ht="19.5">
      <c r="A73" s="84"/>
      <c r="B73" s="84"/>
      <c r="C73" s="84"/>
      <c r="D73" s="84"/>
      <c r="E73" s="84">
        <f>SUM(E49:E70)</f>
        <v>4218</v>
      </c>
      <c r="F73" s="95"/>
      <c r="G73" s="95"/>
      <c r="H73" s="95"/>
      <c r="I73" s="95">
        <f>SUM(I49:I72)</f>
        <v>5420</v>
      </c>
      <c r="J73" s="84"/>
      <c r="K73" s="84"/>
      <c r="L73" s="84">
        <f>SUM(L49:L72)</f>
        <v>9638</v>
      </c>
      <c r="M73" s="96"/>
      <c r="N73" s="96"/>
      <c r="O73" s="96">
        <f>SUM(O49:O72)</f>
        <v>2694</v>
      </c>
      <c r="P73" s="93"/>
      <c r="Q73" s="93"/>
      <c r="R73" s="93">
        <f>SUM(R49:R72)</f>
        <v>6944</v>
      </c>
    </row>
    <row r="74" spans="1:18" ht="18.7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</row>
    <row r="75" spans="1:18" ht="18.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</row>
    <row r="76" spans="1:18" ht="18.7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</row>
    <row r="77" spans="1:18" ht="18.7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</row>
    <row r="78" spans="1:18" ht="18.7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</row>
    <row r="79" spans="1:18" ht="18.7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</row>
    <row r="80" spans="1:18" ht="18.7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</row>
    <row r="81" spans="1:18" ht="18.7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 ht="18.7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ht="18.7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</row>
    <row r="84" spans="1:18" ht="18.7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</row>
    <row r="85" spans="1:18" ht="18.7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</row>
    <row r="86" spans="1:18" ht="18.7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</row>
    <row r="87" spans="1:18" ht="18.7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 ht="18.7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 ht="18.7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</row>
    <row r="90" spans="1:18" ht="18.7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 ht="18.7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 ht="18.7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</row>
    <row r="93" spans="1:18" ht="18.7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</row>
    <row r="94" spans="1:18" ht="18.7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</row>
    <row r="95" spans="1:18" ht="18.7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</row>
    <row r="96" spans="1:18" ht="18.7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</row>
    <row r="97" spans="1:18" ht="18.7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</row>
    <row r="98" spans="1:18" ht="18.7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</row>
    <row r="99" spans="1:18" ht="18.7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</row>
    <row r="100" spans="1:18" ht="18.7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</row>
    <row r="101" spans="1:18" ht="18.7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</row>
    <row r="102" spans="1:18" ht="18.7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</row>
    <row r="103" spans="1:18" ht="18.7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</row>
    <row r="104" spans="1:18" ht="18.7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</row>
    <row r="105" spans="1:18" ht="18.7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</row>
    <row r="106" spans="1:18" ht="18.7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</row>
    <row r="107" spans="1:18" ht="18.7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</row>
    <row r="108" spans="1:18" ht="18.7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</row>
    <row r="109" spans="1:18" ht="18.7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</row>
    <row r="110" spans="1:18" ht="18.7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</row>
    <row r="111" spans="1:18" ht="18.7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</row>
    <row r="112" spans="1:18" ht="18.7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</row>
    <row r="113" spans="1:18" ht="18.7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</row>
    <row r="114" spans="1:18" ht="18.7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</row>
    <row r="115" spans="1:18" ht="18.7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</row>
    <row r="116" spans="1:18" ht="18.7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</row>
    <row r="117" spans="1:18" ht="18.7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</row>
    <row r="118" spans="1:18" ht="18.7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</row>
    <row r="119" spans="1:18" ht="18.7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</row>
    <row r="120" spans="1:18" ht="18.7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</row>
    <row r="121" spans="1:18" ht="18.7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</row>
    <row r="122" spans="1:18" ht="18.7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</row>
    <row r="123" spans="1:18" ht="18.7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</row>
    <row r="124" spans="1:18" ht="18.7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</row>
    <row r="125" spans="1:18" ht="18.7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</row>
    <row r="126" spans="1:18" ht="18.7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</row>
    <row r="127" spans="1:18" ht="18.7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</row>
    <row r="128" spans="1:18" ht="18.7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</row>
    <row r="129" spans="1:18" ht="18.7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</row>
    <row r="130" spans="1:18" ht="18.7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</row>
    <row r="131" spans="1:18" ht="18.7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</row>
    <row r="132" spans="1:18" ht="18.7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</row>
    <row r="133" spans="1:18" ht="18.7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</row>
    <row r="134" spans="1:18" ht="18.7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</row>
    <row r="135" spans="1:18" ht="18.7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</row>
    <row r="136" spans="1:18" ht="18.7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</row>
    <row r="137" spans="1:18" ht="18.7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</row>
    <row r="138" spans="1:18" ht="18.7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</row>
    <row r="139" spans="1:18" ht="18.7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</row>
    <row r="140" spans="1:18" ht="18.7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</row>
    <row r="141" spans="1:18" ht="18.7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</row>
    <row r="142" spans="1:18" ht="18.7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</row>
    <row r="143" spans="1:18" ht="18.7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</row>
    <row r="144" spans="1:18" ht="18.7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</row>
    <row r="145" spans="1:18" ht="18.7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</row>
    <row r="146" spans="1:18" ht="18.7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</row>
    <row r="147" spans="1:18" ht="18.7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</row>
    <row r="148" spans="1:18" ht="18.7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</row>
    <row r="149" spans="1:18" ht="18.7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</row>
    <row r="150" spans="1:18" ht="18.7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</row>
    <row r="151" spans="1:18" ht="18.7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</row>
    <row r="152" spans="1:18" ht="18.7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</row>
    <row r="153" spans="1:18" ht="18.7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</row>
    <row r="154" spans="1:18" ht="18.7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</row>
    <row r="155" spans="1:18" ht="18.7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</row>
    <row r="156" spans="1:18" ht="18.7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</row>
    <row r="157" spans="1:18" ht="18.7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</row>
    <row r="158" spans="1:18" ht="18.7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</row>
    <row r="159" spans="1:18" ht="18.7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</row>
    <row r="160" spans="1:18" ht="18.7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</row>
    <row r="161" spans="1:18" ht="18.7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</row>
    <row r="162" spans="1:18" ht="18.7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</row>
    <row r="163" spans="1:18" ht="18.7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</row>
    <row r="164" spans="1:18" ht="18.7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</row>
    <row r="165" spans="1:18" ht="18.7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</row>
    <row r="166" spans="1:18" ht="18.7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</row>
    <row r="167" spans="1:18" ht="18.7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</row>
    <row r="168" spans="1:18" ht="18.7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</row>
    <row r="169" spans="1:18" ht="18.7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</row>
    <row r="170" spans="1:18" ht="18.7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</row>
    <row r="171" spans="1:18" ht="18.7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</row>
    <row r="172" spans="1:18" ht="18.7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</row>
    <row r="173" spans="1:18" ht="18.7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</row>
    <row r="174" spans="1:18" ht="18.7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</row>
    <row r="175" spans="1:18" ht="18.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</row>
    <row r="176" spans="1:18" ht="18.7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</row>
    <row r="177" spans="1:18" ht="18.7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</row>
    <row r="178" spans="1:18" ht="18.7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</row>
    <row r="179" spans="1:18" ht="18.7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</row>
    <row r="180" spans="1:18" ht="18.7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</row>
    <row r="181" spans="1:18" ht="18.7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</row>
    <row r="182" spans="1:18" ht="18.7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</row>
    <row r="183" spans="1:18" ht="18.7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</row>
    <row r="184" spans="1:18" ht="18.7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</row>
    <row r="185" spans="1:18" ht="18.7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</row>
    <row r="186" spans="1:18" ht="18.7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</row>
    <row r="187" spans="1:18" ht="18.7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</row>
    <row r="188" spans="1:18" ht="18.7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</row>
    <row r="189" spans="1:18" ht="18.7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</row>
    <row r="190" spans="1:18" ht="18.75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</row>
    <row r="191" spans="1:18" ht="18.75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</row>
    <row r="192" spans="1:18" ht="18.75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</row>
    <row r="193" spans="1:18" ht="18.75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</row>
    <row r="194" spans="1:18" ht="18.75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</row>
    <row r="195" spans="1:18" ht="18.7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</row>
    <row r="196" spans="1:18" ht="18.75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</row>
    <row r="197" spans="1:18" ht="18.75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</row>
    <row r="198" spans="1:18" ht="18.75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</row>
    <row r="199" spans="1:18" ht="18.75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</row>
    <row r="200" spans="1:18" ht="18.75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</row>
    <row r="201" spans="1:18" ht="18.75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</row>
    <row r="202" spans="1:18" ht="18.75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</row>
    <row r="203" spans="1:18" ht="18.75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</row>
    <row r="204" spans="1:18" ht="18.75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</row>
    <row r="205" spans="1:18" ht="18.7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</row>
    <row r="206" spans="1:18" ht="18.75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</row>
    <row r="207" spans="1:18" ht="18.75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</row>
    <row r="208" spans="1:18" ht="18.75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</row>
    <row r="209" spans="1:18" ht="18.75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</row>
    <row r="210" spans="1:18" ht="18.75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</row>
    <row r="211" spans="1:18" ht="18.75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</row>
    <row r="212" spans="1:18" ht="18.75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</row>
    <row r="213" spans="1:18" ht="18.75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</row>
    <row r="214" spans="1:18" ht="18.75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</row>
    <row r="215" spans="1:18" ht="18.7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</row>
    <row r="216" spans="1:18" ht="18.75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</row>
    <row r="217" spans="1:18" ht="18.75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</row>
    <row r="218" spans="1:18" ht="18.75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</row>
    <row r="219" spans="1:18" ht="18.75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</row>
    <row r="220" spans="1:18" ht="18.75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</row>
    <row r="221" spans="1:18" ht="18.75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</row>
    <row r="222" spans="1:18" ht="18.75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</row>
    <row r="223" spans="1:18" ht="18.75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</row>
    <row r="224" spans="1:18" ht="18.75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</row>
    <row r="225" spans="1:18" ht="18.7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</row>
    <row r="226" spans="1:18" ht="18.75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</row>
    <row r="227" spans="1:18" ht="18.75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</row>
    <row r="228" spans="1:18" ht="18.75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</row>
    <row r="229" spans="1:18" ht="18.75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</row>
    <row r="230" spans="1:18" ht="18.75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</row>
    <row r="231" spans="1:18" ht="18.75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</row>
    <row r="232" spans="1:18" ht="18.75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</row>
    <row r="233" spans="1:18" ht="18.75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</row>
    <row r="234" spans="1:18" ht="18.75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</row>
    <row r="235" spans="1:18" ht="18.7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</row>
    <row r="236" spans="1:18" ht="18.75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</row>
    <row r="237" spans="1:18" ht="18.75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</row>
    <row r="238" spans="1:18" ht="18.75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</row>
    <row r="239" spans="1:18" ht="18.75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</row>
    <row r="240" spans="1:18" ht="18.75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</row>
    <row r="241" spans="1:18" ht="18.75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</row>
    <row r="242" spans="1:18" ht="18.75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</row>
    <row r="243" spans="1:18" ht="18.75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</row>
    <row r="244" spans="1:18" ht="18.75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</row>
    <row r="245" spans="1:18" ht="18.7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</row>
    <row r="246" spans="1:18" ht="18.75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</row>
    <row r="247" spans="1:18" ht="18.75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</row>
    <row r="248" spans="1:18" ht="18.75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</row>
    <row r="249" spans="1:18" ht="18.75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</row>
    <row r="250" spans="1:18" ht="18.75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</row>
    <row r="251" spans="1:18" ht="18.75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</row>
    <row r="252" spans="1:18" ht="18.75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</row>
    <row r="253" spans="1:18" ht="18.75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</row>
    <row r="254" spans="1:18" ht="18.75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</row>
    <row r="255" spans="1:18" ht="18.7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</row>
    <row r="256" spans="1:18" ht="18.75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</row>
    <row r="257" spans="1:18" ht="18.75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</row>
    <row r="258" spans="1:18" ht="18.75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</row>
    <row r="259" spans="1:18" ht="18.75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</row>
    <row r="260" spans="1:18" ht="18.75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</row>
    <row r="261" spans="1:18" ht="18.75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</row>
    <row r="262" spans="1:18" ht="18.75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</row>
    <row r="263" spans="1:18" ht="18.75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</row>
    <row r="264" spans="1:18" ht="18.75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</row>
    <row r="265" spans="1:18" ht="18.7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</row>
    <row r="266" spans="1:18" ht="18.75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</row>
    <row r="267" spans="1:18" ht="18.75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</row>
    <row r="268" spans="1:18" ht="18.75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</row>
    <row r="269" spans="1:18" ht="18.75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</row>
    <row r="270" spans="1:18" ht="18.75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</row>
    <row r="271" spans="1:18" ht="18.75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</row>
    <row r="272" spans="1:18" ht="18.75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</row>
    <row r="273" spans="1:18" ht="18.75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</row>
    <row r="274" spans="1:18" ht="18.75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</row>
    <row r="275" spans="1:18" ht="18.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</row>
    <row r="276" spans="1:18" ht="18.75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</row>
    <row r="277" spans="1:18" ht="18.75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</row>
    <row r="278" spans="1:18" ht="18.75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</row>
    <row r="279" spans="1:18" ht="18.75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</row>
    <row r="280" spans="1:18" ht="18.75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</row>
    <row r="281" spans="1:18" ht="18.75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</row>
    <row r="282" spans="1:18" ht="18.75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</row>
    <row r="283" spans="1:18" ht="18.75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</row>
    <row r="284" spans="1:18" ht="18.75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</row>
    <row r="285" spans="1:18" ht="18.7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</row>
    <row r="286" spans="1:18" ht="18.75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</row>
    <row r="287" spans="1:18" ht="18.75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</row>
    <row r="288" spans="1:18" ht="18.75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</row>
    <row r="289" spans="1:18" ht="18.75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</row>
    <row r="290" spans="1:18" ht="18.75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</row>
    <row r="291" spans="1:18" ht="18.75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</row>
    <row r="292" spans="1:18" ht="18.75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</row>
    <row r="293" spans="1:18" ht="18.75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</row>
    <row r="294" spans="1:18" ht="18.75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</row>
    <row r="295" spans="1:18" ht="18.7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</row>
    <row r="296" spans="1:18" ht="18.75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</row>
    <row r="297" spans="1:18" ht="18.75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</row>
    <row r="298" spans="1:18" ht="18.75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</row>
    <row r="299" spans="1:18" ht="18.75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</row>
    <row r="300" spans="1:18" ht="18.75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</row>
    <row r="301" spans="1:18" ht="18.75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</row>
    <row r="302" spans="1:18" ht="18.75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</row>
    <row r="303" spans="1:18" ht="18.75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</row>
    <row r="304" spans="1:18" ht="18.75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</row>
    <row r="305" spans="1:18" ht="18.7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</row>
    <row r="306" spans="1:18" ht="18.75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</row>
    <row r="307" spans="1:18" ht="18.75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</row>
    <row r="308" spans="1:18" ht="18.75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</row>
    <row r="309" spans="1:18" ht="18.75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</row>
    <row r="310" spans="1:18" ht="18.75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</row>
    <row r="311" spans="1:18" ht="18.75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</row>
    <row r="312" spans="1:18" ht="18.75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</row>
    <row r="313" spans="1:18" ht="18.75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</row>
    <row r="314" spans="1:18" ht="18.75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</row>
    <row r="315" spans="1:18" ht="18.7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</row>
    <row r="316" spans="1:18" ht="18.75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</row>
    <row r="317" spans="1:18" ht="18.75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</row>
    <row r="318" spans="1:18" ht="18.75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</row>
    <row r="319" spans="1:18" ht="18.75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</row>
    <row r="320" spans="1:18" ht="18.75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</row>
    <row r="321" spans="1:18" ht="18.75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</row>
    <row r="322" spans="1:18" ht="18.75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</row>
    <row r="323" spans="1:18" ht="18.75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</row>
    <row r="324" spans="1:18" ht="18.75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</row>
    <row r="325" spans="1:18" ht="18.7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</row>
    <row r="326" spans="1:18" ht="18.75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</row>
    <row r="327" spans="1:18" ht="18.75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</row>
    <row r="328" spans="1:18" ht="18.75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</row>
    <row r="329" spans="1:18" ht="18.75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</row>
    <row r="330" spans="1:18" ht="18.75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</row>
    <row r="331" spans="1:18" ht="18.75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</row>
    <row r="332" spans="1:18" ht="18.75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</row>
    <row r="333" spans="1:18" ht="18.75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</row>
    <row r="334" spans="1:18" ht="18.75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</row>
    <row r="335" spans="1:18" ht="18.7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</row>
    <row r="336" spans="1:18" ht="18.75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</row>
    <row r="337" spans="1:18" ht="18.75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</row>
    <row r="338" spans="1:18" ht="18.75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</row>
    <row r="339" spans="1:18" ht="18.75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</row>
    <row r="340" spans="1:18" ht="18.75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</row>
    <row r="341" spans="1:18" ht="18.75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</row>
    <row r="342" spans="1:18" ht="18.75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</row>
    <row r="343" spans="1:18" ht="18.75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</row>
    <row r="344" spans="1:18" ht="18.75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</row>
    <row r="345" spans="1:18" ht="18.7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</row>
    <row r="346" spans="1:18" ht="18.75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</row>
    <row r="347" spans="1:18" ht="18.75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</row>
    <row r="348" spans="1:18" ht="18.75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</row>
    <row r="349" spans="1:18" ht="18.75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</row>
    <row r="350" spans="1:18" ht="18.75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</row>
    <row r="351" spans="1:18" ht="18.75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</row>
    <row r="352" spans="1:18" ht="18.75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</row>
    <row r="353" spans="1:18" ht="18.75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</row>
    <row r="354" spans="1:18" ht="18.75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</row>
    <row r="355" spans="1:18" ht="18.7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</row>
    <row r="356" spans="1:18" ht="18.75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</row>
    <row r="357" spans="1:18" ht="18.75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</row>
    <row r="358" spans="1:18" ht="18.75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</row>
    <row r="359" spans="1:18" ht="18.75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</row>
    <row r="360" spans="1:18" ht="18.75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</row>
    <row r="361" spans="1:18" ht="18.75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</row>
    <row r="362" spans="1:18" ht="18.75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</row>
    <row r="363" spans="1:18" ht="18.75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</row>
    <row r="364" spans="1:18" ht="18.75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</row>
    <row r="365" spans="1:18" ht="18.7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</row>
    <row r="366" spans="1:18" ht="18.75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</row>
    <row r="367" spans="1:18" ht="18.75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</row>
    <row r="368" spans="1:18" ht="18.75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</row>
    <row r="369" spans="1:18" ht="18.75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</row>
    <row r="370" spans="1:18" ht="18.75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</row>
    <row r="371" spans="1:18" ht="18.75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</row>
    <row r="372" spans="1:18" ht="18.75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</row>
    <row r="373" spans="1:18" ht="18.75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</row>
    <row r="374" spans="1:18" ht="18.75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</row>
    <row r="375" spans="1:18" ht="18.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</row>
    <row r="376" spans="1:18" ht="18.75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</row>
    <row r="377" spans="1:18" ht="18.75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</row>
    <row r="378" spans="1:18" ht="18.75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</row>
    <row r="379" spans="1:18" ht="18.75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</row>
    <row r="380" spans="1:18" ht="18.75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</row>
    <row r="381" spans="1:18" ht="18.75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</row>
    <row r="382" spans="1:18" ht="18.75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</row>
    <row r="383" spans="1:18" ht="18.75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</row>
    <row r="384" spans="1:18" ht="18.75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</row>
    <row r="385" spans="1:18" ht="18.7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</row>
    <row r="386" spans="1:18" ht="18.75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</row>
    <row r="387" spans="1:18" ht="18.75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</row>
    <row r="388" spans="1:18" ht="18.75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</row>
    <row r="389" spans="1:18" ht="18.75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</row>
    <row r="390" spans="1:18" ht="18.75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</row>
    <row r="391" spans="1:18" ht="18.75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</row>
    <row r="392" spans="1:18" ht="18.75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</row>
    <row r="393" spans="1:18" ht="18.75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</row>
    <row r="394" spans="1:18" ht="18.75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</row>
    <row r="395" spans="1:18" ht="18.7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</row>
    <row r="396" spans="1:18" ht="18.75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</row>
    <row r="397" spans="1:18" ht="18.75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</row>
    <row r="398" spans="1:18" ht="18.75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</row>
    <row r="399" spans="1:18" ht="18.75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</row>
    <row r="400" spans="1:18" ht="18.75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</row>
    <row r="401" spans="1:18" ht="18.75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</row>
    <row r="402" spans="1:18" ht="18.75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</row>
    <row r="403" spans="1:18" ht="18.75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</row>
    <row r="404" spans="1:18" ht="18.75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</row>
    <row r="405" spans="1:18" ht="18.7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</row>
    <row r="406" spans="1:18" ht="18.75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</row>
    <row r="407" spans="1:18" ht="18.75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</row>
    <row r="408" spans="1:18" ht="18.75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</row>
    <row r="409" spans="1:18" ht="18.75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</row>
    <row r="410" spans="1:18" ht="18.75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</row>
    <row r="411" spans="1:18" ht="18.75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</row>
    <row r="412" spans="1:18" ht="18.75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</row>
    <row r="413" spans="1:18" ht="18.75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</row>
    <row r="414" spans="1:18" ht="18.75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</row>
    <row r="415" spans="1:18" ht="18.7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</row>
    <row r="416" spans="1:18" ht="18.75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</row>
    <row r="417" spans="1:18" ht="18.75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</row>
    <row r="418" spans="1:18" ht="18.75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</row>
    <row r="419" spans="1:18" ht="18.75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</row>
    <row r="420" spans="1:18" ht="18.75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</row>
    <row r="421" spans="1:18" ht="18.75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</row>
    <row r="422" spans="1:18" ht="18.75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</row>
    <row r="423" spans="1:18" ht="18.75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</row>
    <row r="424" spans="1:18" ht="18.75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</row>
    <row r="425" spans="1:18" ht="18.7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</row>
    <row r="426" spans="1:18" ht="18.75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</row>
    <row r="427" spans="1:18" ht="18.75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</row>
    <row r="428" spans="1:18" ht="18.75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</row>
    <row r="429" spans="1:18" ht="18.75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</row>
    <row r="430" spans="1:18" ht="18.75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</row>
    <row r="431" spans="1:18" ht="18.75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</row>
    <row r="432" spans="1:18" ht="18.75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</row>
    <row r="433" spans="1:18" ht="18.75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</row>
    <row r="434" spans="1:18" ht="18.75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</row>
    <row r="435" spans="1:18" ht="18.7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</row>
    <row r="436" spans="1:18" ht="18.75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</row>
    <row r="437" spans="1:18" ht="18.75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</row>
    <row r="438" spans="1:18" ht="18.75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</row>
    <row r="439" spans="1:18" ht="18.75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</row>
    <row r="440" spans="1:18" ht="18.75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</row>
    <row r="441" spans="1:18" ht="18.7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</row>
    <row r="442" spans="1:18" ht="18.7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</row>
    <row r="443" spans="1:18" ht="18.7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</row>
    <row r="444" spans="1:18" ht="18.7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</row>
    <row r="445" spans="1:18" ht="18.7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</row>
    <row r="446" spans="1:18" ht="18.7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</row>
    <row r="447" spans="1:18" ht="18.7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</row>
    <row r="448" spans="1:18" ht="18.7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</row>
    <row r="449" spans="1:18" ht="18.7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</row>
    <row r="450" spans="1:18" ht="18.7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</row>
    <row r="451" spans="1:18" ht="18.7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</row>
    <row r="452" spans="1:18" ht="18.7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</row>
    <row r="453" spans="1:18" ht="18.7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</row>
    <row r="454" spans="1:18" ht="18.7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</row>
    <row r="455" spans="1:18" ht="18.7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</row>
    <row r="456" spans="1:18" ht="18.7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</row>
    <row r="457" spans="1:18" ht="18.7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</row>
    <row r="458" spans="1:18" ht="18.7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</row>
    <row r="459" spans="1:18" ht="18.7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</row>
    <row r="460" spans="1:18" ht="18.7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</row>
    <row r="461" spans="1:18" ht="18.7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</row>
    <row r="462" spans="1:18" ht="18.7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</row>
    <row r="463" spans="1:18" ht="18.7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</row>
    <row r="464" spans="1:18" ht="18.7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</row>
    <row r="465" spans="1:18" ht="18.7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</row>
    <row r="466" spans="1:18" ht="18.7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</row>
    <row r="467" spans="1:18" ht="18.7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</row>
    <row r="468" spans="1:18" ht="18.7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</row>
    <row r="469" spans="1:18" ht="18.7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</row>
    <row r="470" spans="1:18" ht="18.7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</row>
    <row r="471" spans="1:18" ht="18.7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</row>
    <row r="472" spans="1:18" ht="18.7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</row>
    <row r="473" spans="1:18" ht="18.7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</row>
    <row r="474" spans="1:18" ht="18.7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</row>
    <row r="475" spans="1:18" ht="18.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</row>
    <row r="476" spans="1:18" ht="18.7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</row>
    <row r="477" spans="1:18" ht="18.7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</row>
    <row r="478" spans="1:18" ht="18.7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</row>
    <row r="479" spans="1:18" ht="18.7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</row>
    <row r="480" spans="1:18" ht="18.7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</row>
    <row r="481" spans="1:18" ht="18.7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</row>
    <row r="482" spans="1:18" ht="18.7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</row>
    <row r="483" spans="1:18" ht="18.7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</row>
    <row r="484" spans="1:18" ht="18.7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</row>
    <row r="485" spans="1:18" ht="18.7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</row>
    <row r="486" spans="1:18" ht="18.7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</row>
    <row r="487" spans="1:18" ht="18.7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</row>
    <row r="488" spans="1:18" ht="18.7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</row>
    <row r="489" spans="1:18" ht="18.7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</row>
    <row r="490" spans="1:18" ht="18.7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</row>
    <row r="491" spans="1:18" ht="18.7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</row>
    <row r="492" spans="1:18" ht="18.7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</row>
    <row r="493" spans="1:18" ht="18.7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</row>
    <row r="494" spans="1:18" ht="18.7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</row>
    <row r="495" spans="1:18" ht="18.7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</row>
    <row r="496" spans="1:18" ht="18.7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</row>
    <row r="497" spans="1:18" ht="18.7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</row>
    <row r="498" spans="1:18" ht="18.7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</row>
    <row r="499" spans="1:18" ht="18.7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</row>
    <row r="500" spans="1:18" ht="18.7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</row>
    <row r="501" spans="1:18" ht="18.7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</row>
    <row r="502" spans="1:18" ht="18.7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</row>
    <row r="503" spans="1:18" ht="18.7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</row>
    <row r="504" spans="1:18" ht="18.7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</row>
    <row r="505" spans="1:18" ht="18.7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</row>
    <row r="506" spans="1:18" ht="18.7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</row>
    <row r="507" spans="1:18" ht="18.7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</row>
    <row r="508" spans="1:18" ht="18.7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</row>
    <row r="509" spans="1:18" ht="18.7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</row>
    <row r="510" spans="1:18" ht="18.7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</row>
    <row r="511" spans="1:18" ht="18.7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</row>
    <row r="512" spans="1:18" ht="18.7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</row>
    <row r="513" spans="1:18" ht="18.7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</row>
    <row r="514" spans="1:18" ht="18.7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</row>
    <row r="515" spans="1:18" ht="18.7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</row>
    <row r="516" spans="1:18" ht="18.7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</row>
    <row r="517" spans="1:18" ht="18.7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</row>
    <row r="518" spans="1:18" ht="18.7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</row>
    <row r="519" spans="1:18" ht="18.7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</row>
    <row r="520" spans="1:18" ht="18.7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</row>
    <row r="521" spans="1:18" ht="18.7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</row>
    <row r="522" spans="1:18" ht="18.7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</row>
    <row r="523" spans="1:18" ht="18.7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</row>
    <row r="524" spans="1:18" ht="18.7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</row>
    <row r="525" spans="1:18" ht="18.7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</row>
    <row r="526" spans="1:18" ht="18.7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</row>
    <row r="527" spans="1:18" ht="18.7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</row>
    <row r="528" spans="1:18" ht="18.7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</row>
    <row r="529" spans="1:18" ht="18.7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</row>
    <row r="530" spans="1:18" ht="18.7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</row>
    <row r="531" spans="1:18" ht="18.7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</row>
    <row r="532" spans="1:18" ht="18.7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</row>
    <row r="533" spans="1:18" ht="18.7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</row>
    <row r="534" spans="1:18" ht="18.7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</row>
    <row r="535" spans="1:18" ht="18.7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</row>
    <row r="536" spans="1:18" ht="18.7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</row>
    <row r="537" spans="1:18" ht="18.7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</row>
    <row r="538" spans="1:18" ht="18.7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</row>
    <row r="539" spans="1:18" ht="18.7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</row>
    <row r="540" spans="1:18" ht="18.7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</row>
    <row r="541" spans="1:18" ht="18.7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</row>
    <row r="542" spans="1:18" ht="18.7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</row>
    <row r="543" spans="1:18" ht="18.7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</row>
    <row r="544" spans="1:18" ht="18.7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</row>
    <row r="545" spans="1:18" ht="18.7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</row>
    <row r="546" spans="1:18" ht="18.7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</row>
    <row r="547" spans="1:18" ht="18.7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</row>
    <row r="548" spans="1:18" ht="18.7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</row>
    <row r="549" spans="1:18" ht="18.7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</row>
    <row r="550" spans="1:18" ht="18.7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</row>
    <row r="551" spans="1:18" ht="18.7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</row>
    <row r="552" spans="1:18" ht="18.7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</row>
    <row r="553" spans="1:18" ht="18.7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</row>
    <row r="554" spans="1:18" ht="18.7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</row>
    <row r="555" spans="1:18" ht="18.7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</row>
    <row r="556" spans="1:18" ht="18.7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</row>
    <row r="557" spans="1:18" ht="18.7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</row>
    <row r="558" spans="1:18" ht="18.7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</row>
    <row r="559" spans="1:18" ht="18.7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</row>
    <row r="560" spans="1:18" ht="18.7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</row>
    <row r="561" spans="1:18" ht="18.7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</row>
    <row r="562" spans="1:18" ht="18.7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</row>
    <row r="563" spans="1:18" ht="18.7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</row>
    <row r="564" spans="1:18" ht="18.7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</row>
    <row r="565" spans="1:18" ht="18.7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</row>
    <row r="566" spans="1:18" ht="18.7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</row>
    <row r="567" spans="1:18" ht="18.7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</row>
    <row r="568" spans="1:18" ht="18.7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</row>
    <row r="569" spans="1:18" ht="18.7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</row>
    <row r="570" spans="1:18" ht="18.7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</row>
    <row r="571" spans="1:18" ht="18.7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</row>
    <row r="572" spans="1:18" ht="18.7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</row>
    <row r="573" spans="1:18" ht="18.7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</row>
    <row r="574" spans="1:18" ht="18.7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</row>
    <row r="575" spans="1:18" ht="18.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</row>
    <row r="576" spans="1:18" ht="18.7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</row>
    <row r="577" spans="1:18" ht="18.7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</row>
    <row r="578" spans="1:18" ht="18.7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</row>
    <row r="579" spans="1:18" ht="18.7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</row>
    <row r="580" spans="1:18" ht="18.7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</row>
    <row r="581" spans="1:18" ht="18.7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</row>
    <row r="582" spans="1:18" ht="18.7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</row>
    <row r="583" spans="1:18" ht="18.7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</row>
    <row r="584" spans="1:18" ht="18.7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</row>
    <row r="585" spans="1:18" ht="18.7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</row>
    <row r="586" spans="1:18" ht="18.7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</row>
    <row r="587" spans="1:18" ht="18.7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</row>
    <row r="588" spans="1:18" ht="18.7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</row>
    <row r="589" spans="1:18" ht="18.7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</row>
    <row r="590" spans="1:18" ht="18.7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</row>
    <row r="591" spans="1:18" ht="18.7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</row>
    <row r="592" spans="1:18" ht="18.7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</row>
    <row r="593" spans="1:18" ht="18.7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</row>
    <row r="594" spans="1:18" ht="18.7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</row>
    <row r="595" spans="1:18" ht="18.7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</row>
    <row r="596" spans="1:18" ht="18.7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</row>
    <row r="597" spans="1:18" ht="18.7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</row>
    <row r="598" spans="1:18" ht="18.7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</row>
    <row r="599" spans="1:18" ht="18.7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</row>
    <row r="600" spans="1:18" ht="18.7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</row>
    <row r="601" spans="1:18" ht="18.7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</row>
    <row r="602" spans="1:18" ht="18.7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</row>
    <row r="603" spans="1:18" ht="18.7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</row>
    <row r="604" spans="1:18" ht="18.7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</row>
    <row r="605" spans="1:18" ht="18.7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</row>
    <row r="606" spans="1:18" ht="18.7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</row>
    <row r="607" spans="1:18" ht="18.7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</row>
    <row r="608" spans="1:18" ht="18.7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</row>
    <row r="609" spans="1:18" ht="18.7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</row>
    <row r="610" spans="1:18" ht="18.7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</row>
    <row r="611" spans="1:18" ht="18.7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</row>
    <row r="612" spans="1:18" ht="18.7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</row>
    <row r="613" spans="1:18" ht="18.7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</row>
    <row r="614" spans="1:18" ht="18.7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</row>
    <row r="615" spans="1:18" ht="18.7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</row>
    <row r="616" spans="1:18" ht="18.7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</row>
    <row r="617" spans="1:18" ht="18.7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</row>
    <row r="618" spans="1:18" ht="18.7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</row>
    <row r="619" spans="1:18" ht="18.7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</row>
    <row r="620" spans="1:18" ht="18.7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</row>
    <row r="621" spans="1:18" ht="18.7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</row>
    <row r="622" spans="1:18" ht="18.7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</row>
    <row r="623" spans="1:18" ht="18.7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</row>
    <row r="624" spans="1:18" ht="18.7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</row>
    <row r="625" spans="1:18" ht="18.7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</row>
    <row r="626" spans="1:18" ht="18.7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</row>
    <row r="627" spans="1:18" ht="18.7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</row>
    <row r="628" spans="1:18" ht="18.7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</row>
    <row r="629" spans="1:18" ht="18.7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</row>
    <row r="630" spans="1:18" ht="18.7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</row>
    <row r="631" spans="1:18" ht="18.7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</row>
    <row r="632" spans="1:18" ht="18.7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</row>
    <row r="633" spans="1:18" ht="18.7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</row>
    <row r="634" spans="1:18" ht="18.7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</row>
    <row r="635" spans="1:18" ht="18.7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</row>
    <row r="636" spans="1:18" ht="18.7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</row>
    <row r="637" spans="1:18" ht="18.7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</row>
    <row r="638" spans="1:18" ht="18.7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</row>
    <row r="639" spans="1:18" ht="18.7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</row>
    <row r="640" spans="1:18" ht="18.7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</row>
    <row r="641" spans="1:18" ht="18.7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</row>
    <row r="642" spans="1:18" ht="18.7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</row>
    <row r="643" spans="1:18" ht="18.7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</row>
    <row r="644" spans="1:18" ht="18.7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</row>
    <row r="645" spans="1:18" ht="18.7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</row>
    <row r="646" spans="1:18" ht="18.7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</row>
    <row r="647" spans="1:18" ht="18.7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</row>
    <row r="648" spans="1:18" ht="18.7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</row>
    <row r="649" spans="1:18" ht="18.7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</row>
    <row r="650" spans="1:18" ht="18.7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</row>
  </sheetData>
  <mergeCells count="10">
    <mergeCell ref="F2:I2"/>
    <mergeCell ref="J2:L2"/>
    <mergeCell ref="M2:O2"/>
    <mergeCell ref="P2:R2"/>
    <mergeCell ref="A1:R1"/>
    <mergeCell ref="A46:R46"/>
    <mergeCell ref="F47:I47"/>
    <mergeCell ref="J47:L47"/>
    <mergeCell ref="M47:O47"/>
    <mergeCell ref="P47:R47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Consumption </vt:lpstr>
      <vt:lpstr>Lotus </vt:lpstr>
      <vt:lpstr>Dhanlaxmi</vt:lpstr>
      <vt:lpstr>MODREN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yogeshs</dc:creator>
  <cp:lastModifiedBy>Dispatch</cp:lastModifiedBy>
  <cp:lastPrinted>2026-07-01T04:25:50Z</cp:lastPrinted>
  <dcterms:created xsi:type="dcterms:W3CDTF">2021-04-03T10:40:18Z</dcterms:created>
  <dcterms:modified xsi:type="dcterms:W3CDTF">2026-10-04T03:39:15Z</dcterms:modified>
</cp:coreProperties>
</file>